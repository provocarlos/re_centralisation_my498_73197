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ers\octavio.garcia\Desktop\MGB_respaldo\2026\Web\sinaiscap_recursossalud_20260320\2012-2024_recursosFisicos\"/>
    </mc:Choice>
  </mc:AlternateContent>
  <bookViews>
    <workbookView xWindow="0" yWindow="0" windowWidth="23505" windowHeight="9840" tabRatio="1000"/>
  </bookViews>
  <sheets>
    <sheet name="Concentrado" sheetId="1" r:id="rId1"/>
    <sheet name="NACIONAL" sheetId="2" r:id="rId2"/>
    <sheet name="AGS" sheetId="3" r:id="rId3"/>
    <sheet name="BC" sheetId="4" r:id="rId4"/>
    <sheet name="BCS" sheetId="5" r:id="rId5"/>
    <sheet name="CAMP" sheetId="6" r:id="rId6"/>
    <sheet name="CHIS" sheetId="7" r:id="rId7"/>
    <sheet name="CHI" sheetId="8" r:id="rId8"/>
    <sheet name="CDMX" sheetId="9" r:id="rId9"/>
    <sheet name="COAH" sheetId="10" r:id="rId10"/>
    <sheet name="COL" sheetId="11" r:id="rId11"/>
    <sheet name="DGO" sheetId="12" r:id="rId12"/>
    <sheet name="GTO" sheetId="13" r:id="rId13"/>
    <sheet name="GRO" sheetId="14" r:id="rId14"/>
    <sheet name="HGO" sheetId="15" r:id="rId15"/>
    <sheet name="JAL" sheetId="16" r:id="rId16"/>
    <sheet name="MEX" sheetId="17" r:id="rId17"/>
    <sheet name="MICH" sheetId="18" r:id="rId18"/>
    <sheet name="MOR" sheetId="19" r:id="rId19"/>
    <sheet name="NAY" sheetId="20" r:id="rId20"/>
    <sheet name="NL" sheetId="21" r:id="rId21"/>
    <sheet name="OAX" sheetId="22" r:id="rId22"/>
    <sheet name="PUE" sheetId="23" r:id="rId23"/>
    <sheet name="QRO" sheetId="24" r:id="rId24"/>
    <sheet name="QROO" sheetId="25" r:id="rId25"/>
    <sheet name="SLP" sheetId="26" r:id="rId26"/>
    <sheet name="SIN" sheetId="27" r:id="rId27"/>
    <sheet name="SON" sheetId="28" r:id="rId28"/>
    <sheet name="TAB" sheetId="29" r:id="rId29"/>
    <sheet name="TAMPS" sheetId="30" r:id="rId30"/>
    <sheet name="TLAX" sheetId="31" r:id="rId31"/>
    <sheet name="VER" sheetId="32" r:id="rId32"/>
    <sheet name="YUC" sheetId="33" r:id="rId33"/>
    <sheet name="ZAC" sheetId="34" r:id="rId34"/>
  </sheets>
  <definedNames>
    <definedName name="_xlnm._FilterDatabase" localSheetId="0" hidden="1">Concentrado!$A$1:$F$1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4" i="2" l="1"/>
  <c r="C14" i="2"/>
  <c r="D14" i="2"/>
  <c r="E14" i="2"/>
  <c r="F14" i="2"/>
  <c r="F14" i="4"/>
  <c r="E14" i="4"/>
  <c r="D14" i="4"/>
  <c r="C14" i="4"/>
  <c r="B14" i="4"/>
  <c r="F14" i="5"/>
  <c r="E14" i="5"/>
  <c r="D14" i="5"/>
  <c r="C14" i="5"/>
  <c r="B14" i="5"/>
  <c r="F14" i="6"/>
  <c r="E14" i="6"/>
  <c r="D14" i="6"/>
  <c r="C14" i="6"/>
  <c r="B14" i="6"/>
  <c r="F14" i="7"/>
  <c r="E14" i="7"/>
  <c r="D14" i="7"/>
  <c r="C14" i="7"/>
  <c r="B14" i="7"/>
  <c r="F14" i="8"/>
  <c r="E14" i="8"/>
  <c r="D14" i="8"/>
  <c r="C14" i="8"/>
  <c r="B14" i="8"/>
  <c r="F14" i="9"/>
  <c r="E14" i="9"/>
  <c r="D14" i="9"/>
  <c r="C14" i="9"/>
  <c r="B14" i="9"/>
  <c r="F14" i="10"/>
  <c r="E14" i="10"/>
  <c r="D14" i="10"/>
  <c r="C14" i="10"/>
  <c r="B14" i="10"/>
  <c r="F14" i="11"/>
  <c r="E14" i="11"/>
  <c r="D14" i="11"/>
  <c r="C14" i="11"/>
  <c r="B14" i="11"/>
  <c r="F14" i="12"/>
  <c r="E14" i="12"/>
  <c r="D14" i="12"/>
  <c r="C14" i="12"/>
  <c r="B14" i="12"/>
  <c r="F14" i="13"/>
  <c r="E14" i="13"/>
  <c r="D14" i="13"/>
  <c r="C14" i="13"/>
  <c r="B14" i="13"/>
  <c r="F14" i="14"/>
  <c r="E14" i="14"/>
  <c r="D14" i="14"/>
  <c r="C14" i="14"/>
  <c r="B14" i="14"/>
  <c r="F14" i="15"/>
  <c r="E14" i="15"/>
  <c r="D14" i="15"/>
  <c r="C14" i="15"/>
  <c r="B14" i="15"/>
  <c r="F14" i="16"/>
  <c r="E14" i="16"/>
  <c r="D14" i="16"/>
  <c r="C14" i="16"/>
  <c r="B14" i="16"/>
  <c r="F14" i="17"/>
  <c r="E14" i="17"/>
  <c r="D14" i="17"/>
  <c r="C14" i="17"/>
  <c r="B14" i="17"/>
  <c r="F14" i="18"/>
  <c r="E14" i="18"/>
  <c r="D14" i="18"/>
  <c r="C14" i="18"/>
  <c r="B14" i="18"/>
  <c r="F14" i="19"/>
  <c r="E14" i="19"/>
  <c r="D14" i="19"/>
  <c r="C14" i="19"/>
  <c r="B14" i="19"/>
  <c r="F14" i="20"/>
  <c r="E14" i="20"/>
  <c r="D14" i="20"/>
  <c r="C14" i="20"/>
  <c r="B14" i="20"/>
  <c r="F14" i="21"/>
  <c r="E14" i="21"/>
  <c r="D14" i="21"/>
  <c r="C14" i="21"/>
  <c r="B14" i="21"/>
  <c r="F14" i="22"/>
  <c r="E14" i="22"/>
  <c r="D14" i="22"/>
  <c r="C14" i="22"/>
  <c r="B14" i="22"/>
  <c r="F14" i="23"/>
  <c r="E14" i="23"/>
  <c r="D14" i="23"/>
  <c r="C14" i="23"/>
  <c r="B14" i="23"/>
  <c r="F14" i="24"/>
  <c r="E14" i="24"/>
  <c r="D14" i="24"/>
  <c r="C14" i="24"/>
  <c r="B14" i="24"/>
  <c r="F14" i="25"/>
  <c r="E14" i="25"/>
  <c r="D14" i="25"/>
  <c r="C14" i="25"/>
  <c r="B14" i="25"/>
  <c r="F14" i="26"/>
  <c r="E14" i="26"/>
  <c r="D14" i="26"/>
  <c r="C14" i="26"/>
  <c r="B14" i="26"/>
  <c r="F14" i="27"/>
  <c r="E14" i="27"/>
  <c r="D14" i="27"/>
  <c r="C14" i="27"/>
  <c r="B14" i="27"/>
  <c r="F14" i="28"/>
  <c r="E14" i="28"/>
  <c r="D14" i="28"/>
  <c r="C14" i="28"/>
  <c r="B14" i="28"/>
  <c r="F14" i="29"/>
  <c r="E14" i="29"/>
  <c r="D14" i="29"/>
  <c r="C14" i="29"/>
  <c r="B14" i="29"/>
  <c r="F14" i="30"/>
  <c r="E14" i="30"/>
  <c r="D14" i="30"/>
  <c r="C14" i="30"/>
  <c r="B14" i="30"/>
  <c r="F14" i="31"/>
  <c r="E14" i="31"/>
  <c r="D14" i="31"/>
  <c r="C14" i="31"/>
  <c r="B14" i="31"/>
  <c r="F14" i="32"/>
  <c r="E14" i="32"/>
  <c r="D14" i="32"/>
  <c r="C14" i="32"/>
  <c r="B14" i="32"/>
  <c r="F14" i="33"/>
  <c r="E14" i="33"/>
  <c r="D14" i="33"/>
  <c r="C14" i="33"/>
  <c r="B14" i="33"/>
  <c r="F14" i="34"/>
  <c r="E14" i="34"/>
  <c r="D14" i="34"/>
  <c r="C14" i="34"/>
  <c r="B14" i="34"/>
  <c r="F14" i="3"/>
  <c r="E14" i="3"/>
  <c r="D14" i="3"/>
  <c r="C14" i="3"/>
  <c r="B14" i="3"/>
  <c r="B3" i="3" l="1"/>
  <c r="C3" i="3"/>
  <c r="D3" i="3"/>
  <c r="E3" i="3"/>
  <c r="F3" i="3"/>
  <c r="B4" i="3"/>
  <c r="C4" i="3"/>
  <c r="D4" i="3"/>
  <c r="E4" i="3"/>
  <c r="F4" i="3"/>
  <c r="B5" i="3"/>
  <c r="C5" i="3"/>
  <c r="D5" i="3"/>
  <c r="E5" i="3"/>
  <c r="F5" i="3"/>
  <c r="B6" i="3"/>
  <c r="C6" i="3"/>
  <c r="D6" i="3"/>
  <c r="E6" i="3"/>
  <c r="F6" i="3"/>
  <c r="B7" i="3"/>
  <c r="C7" i="3"/>
  <c r="D7" i="3"/>
  <c r="E7" i="3"/>
  <c r="F7" i="3"/>
  <c r="B8" i="3"/>
  <c r="C8" i="3"/>
  <c r="D8" i="3"/>
  <c r="E8" i="3"/>
  <c r="F8" i="3"/>
  <c r="B9" i="3"/>
  <c r="C9" i="3"/>
  <c r="D9" i="3"/>
  <c r="E9" i="3"/>
  <c r="F9" i="3"/>
  <c r="B10" i="3"/>
  <c r="C10" i="3"/>
  <c r="D10" i="3"/>
  <c r="E10" i="3"/>
  <c r="F10" i="3"/>
  <c r="B11" i="3"/>
  <c r="C11" i="3"/>
  <c r="D11" i="3"/>
  <c r="E11" i="3"/>
  <c r="F11" i="3"/>
  <c r="B12" i="3"/>
  <c r="C12" i="3"/>
  <c r="D12" i="3"/>
  <c r="E12" i="3"/>
  <c r="F12" i="3"/>
  <c r="B13" i="3"/>
  <c r="C13" i="3"/>
  <c r="D13" i="3"/>
  <c r="E13" i="3"/>
  <c r="F13" i="3"/>
  <c r="B3" i="4"/>
  <c r="C3" i="4"/>
  <c r="D3" i="4"/>
  <c r="E3" i="4"/>
  <c r="F3" i="4"/>
  <c r="B4" i="4"/>
  <c r="C4" i="4"/>
  <c r="D4" i="4"/>
  <c r="E4" i="4"/>
  <c r="F4" i="4"/>
  <c r="B5" i="4"/>
  <c r="C5" i="4"/>
  <c r="D5" i="4"/>
  <c r="E5" i="4"/>
  <c r="F5" i="4"/>
  <c r="B6" i="4"/>
  <c r="C6" i="4"/>
  <c r="D6" i="4"/>
  <c r="E6" i="4"/>
  <c r="F6" i="4"/>
  <c r="B7" i="4"/>
  <c r="C7" i="4"/>
  <c r="D7" i="4"/>
  <c r="E7" i="4"/>
  <c r="F7" i="4"/>
  <c r="B8" i="4"/>
  <c r="C8" i="4"/>
  <c r="D8" i="4"/>
  <c r="E8" i="4"/>
  <c r="F8" i="4"/>
  <c r="B9" i="4"/>
  <c r="C9" i="4"/>
  <c r="D9" i="4"/>
  <c r="E9" i="4"/>
  <c r="F9" i="4"/>
  <c r="B10" i="4"/>
  <c r="C10" i="4"/>
  <c r="D10" i="4"/>
  <c r="E10" i="4"/>
  <c r="F10" i="4"/>
  <c r="B11" i="4"/>
  <c r="C11" i="4"/>
  <c r="D11" i="4"/>
  <c r="E11" i="4"/>
  <c r="F11" i="4"/>
  <c r="B12" i="4"/>
  <c r="C12" i="4"/>
  <c r="D12" i="4"/>
  <c r="E12" i="4"/>
  <c r="F12" i="4"/>
  <c r="B13" i="4"/>
  <c r="C13" i="4"/>
  <c r="D13" i="4"/>
  <c r="E13" i="4"/>
  <c r="F13" i="4"/>
  <c r="B3" i="5"/>
  <c r="C3" i="5"/>
  <c r="D3" i="5"/>
  <c r="E3" i="5"/>
  <c r="F3" i="5"/>
  <c r="B4" i="5"/>
  <c r="C4" i="5"/>
  <c r="D4" i="5"/>
  <c r="E4" i="5"/>
  <c r="F4" i="5"/>
  <c r="B5" i="5"/>
  <c r="C5" i="5"/>
  <c r="D5" i="5"/>
  <c r="E5" i="5"/>
  <c r="F5" i="5"/>
  <c r="B6" i="5"/>
  <c r="C6" i="5"/>
  <c r="D6" i="5"/>
  <c r="E6" i="5"/>
  <c r="F6" i="5"/>
  <c r="B7" i="5"/>
  <c r="C7" i="5"/>
  <c r="D7" i="5"/>
  <c r="E7" i="5"/>
  <c r="F7" i="5"/>
  <c r="B8" i="5"/>
  <c r="C8" i="5"/>
  <c r="D8" i="5"/>
  <c r="E8" i="5"/>
  <c r="F8" i="5"/>
  <c r="B9" i="5"/>
  <c r="C9" i="5"/>
  <c r="D9" i="5"/>
  <c r="E9" i="5"/>
  <c r="F9" i="5"/>
  <c r="B10" i="5"/>
  <c r="C10" i="5"/>
  <c r="D10" i="5"/>
  <c r="E10" i="5"/>
  <c r="F10" i="5"/>
  <c r="B11" i="5"/>
  <c r="C11" i="5"/>
  <c r="D11" i="5"/>
  <c r="E11" i="5"/>
  <c r="F11" i="5"/>
  <c r="B12" i="5"/>
  <c r="C12" i="5"/>
  <c r="D12" i="5"/>
  <c r="E12" i="5"/>
  <c r="F12" i="5"/>
  <c r="B13" i="5"/>
  <c r="C13" i="5"/>
  <c r="D13" i="5"/>
  <c r="E13" i="5"/>
  <c r="F13" i="5"/>
  <c r="B3" i="6"/>
  <c r="C3" i="6"/>
  <c r="D3" i="6"/>
  <c r="E3" i="6"/>
  <c r="F3" i="6"/>
  <c r="B4" i="6"/>
  <c r="C4" i="6"/>
  <c r="D4" i="6"/>
  <c r="E4" i="6"/>
  <c r="F4" i="6"/>
  <c r="B5" i="6"/>
  <c r="C5" i="6"/>
  <c r="D5" i="6"/>
  <c r="E5" i="6"/>
  <c r="F5" i="6"/>
  <c r="B6" i="6"/>
  <c r="C6" i="6"/>
  <c r="D6" i="6"/>
  <c r="E6" i="6"/>
  <c r="F6" i="6"/>
  <c r="B7" i="6"/>
  <c r="C7" i="6"/>
  <c r="D7" i="6"/>
  <c r="E7" i="6"/>
  <c r="F7" i="6"/>
  <c r="B8" i="6"/>
  <c r="C8" i="6"/>
  <c r="D8" i="6"/>
  <c r="E8" i="6"/>
  <c r="F8" i="6"/>
  <c r="B9" i="6"/>
  <c r="C9" i="6"/>
  <c r="D9" i="6"/>
  <c r="E9" i="6"/>
  <c r="F9" i="6"/>
  <c r="B10" i="6"/>
  <c r="C10" i="6"/>
  <c r="D10" i="6"/>
  <c r="E10" i="6"/>
  <c r="F10" i="6"/>
  <c r="B11" i="6"/>
  <c r="C11" i="6"/>
  <c r="D11" i="6"/>
  <c r="E11" i="6"/>
  <c r="F11" i="6"/>
  <c r="B12" i="6"/>
  <c r="C12" i="6"/>
  <c r="D12" i="6"/>
  <c r="E12" i="6"/>
  <c r="F12" i="6"/>
  <c r="B13" i="6"/>
  <c r="C13" i="6"/>
  <c r="D13" i="6"/>
  <c r="E13" i="6"/>
  <c r="F13" i="6"/>
  <c r="B3" i="7"/>
  <c r="C3" i="7"/>
  <c r="D3" i="7"/>
  <c r="E3" i="7"/>
  <c r="F3" i="7"/>
  <c r="B4" i="7"/>
  <c r="C4" i="7"/>
  <c r="D4" i="7"/>
  <c r="E4" i="7"/>
  <c r="F4" i="7"/>
  <c r="B5" i="7"/>
  <c r="C5" i="7"/>
  <c r="D5" i="7"/>
  <c r="E5" i="7"/>
  <c r="F5" i="7"/>
  <c r="B6" i="7"/>
  <c r="C6" i="7"/>
  <c r="D6" i="7"/>
  <c r="E6" i="7"/>
  <c r="F6" i="7"/>
  <c r="B7" i="7"/>
  <c r="C7" i="7"/>
  <c r="D7" i="7"/>
  <c r="E7" i="7"/>
  <c r="F7" i="7"/>
  <c r="B8" i="7"/>
  <c r="C8" i="7"/>
  <c r="D8" i="7"/>
  <c r="E8" i="7"/>
  <c r="F8" i="7"/>
  <c r="B9" i="7"/>
  <c r="C9" i="7"/>
  <c r="D9" i="7"/>
  <c r="E9" i="7"/>
  <c r="F9" i="7"/>
  <c r="B10" i="7"/>
  <c r="C10" i="7"/>
  <c r="D10" i="7"/>
  <c r="E10" i="7"/>
  <c r="F10" i="7"/>
  <c r="B11" i="7"/>
  <c r="C11" i="7"/>
  <c r="D11" i="7"/>
  <c r="E11" i="7"/>
  <c r="F11" i="7"/>
  <c r="B12" i="7"/>
  <c r="C12" i="7"/>
  <c r="D12" i="7"/>
  <c r="E12" i="7"/>
  <c r="F12" i="7"/>
  <c r="B13" i="7"/>
  <c r="C13" i="7"/>
  <c r="D13" i="7"/>
  <c r="E13" i="7"/>
  <c r="F13" i="7"/>
  <c r="B3" i="8"/>
  <c r="C3" i="8"/>
  <c r="D3" i="8"/>
  <c r="E3" i="8"/>
  <c r="F3" i="8"/>
  <c r="B4" i="8"/>
  <c r="C4" i="8"/>
  <c r="D4" i="8"/>
  <c r="E4" i="8"/>
  <c r="F4" i="8"/>
  <c r="B5" i="8"/>
  <c r="C5" i="8"/>
  <c r="D5" i="8"/>
  <c r="E5" i="8"/>
  <c r="F5" i="8"/>
  <c r="B6" i="8"/>
  <c r="C6" i="8"/>
  <c r="D6" i="8"/>
  <c r="E6" i="8"/>
  <c r="F6" i="8"/>
  <c r="B7" i="8"/>
  <c r="C7" i="8"/>
  <c r="D7" i="8"/>
  <c r="E7" i="8"/>
  <c r="F7" i="8"/>
  <c r="B8" i="8"/>
  <c r="C8" i="8"/>
  <c r="D8" i="8"/>
  <c r="E8" i="8"/>
  <c r="F8" i="8"/>
  <c r="B9" i="8"/>
  <c r="C9" i="8"/>
  <c r="D9" i="8"/>
  <c r="E9" i="8"/>
  <c r="F9" i="8"/>
  <c r="B10" i="8"/>
  <c r="C10" i="8"/>
  <c r="D10" i="8"/>
  <c r="E10" i="8"/>
  <c r="F10" i="8"/>
  <c r="B11" i="8"/>
  <c r="C11" i="8"/>
  <c r="D11" i="8"/>
  <c r="E11" i="8"/>
  <c r="F11" i="8"/>
  <c r="B12" i="8"/>
  <c r="C12" i="8"/>
  <c r="D12" i="8"/>
  <c r="E12" i="8"/>
  <c r="F12" i="8"/>
  <c r="B13" i="8"/>
  <c r="C13" i="8"/>
  <c r="D13" i="8"/>
  <c r="E13" i="8"/>
  <c r="F13" i="8"/>
  <c r="B3" i="9"/>
  <c r="C3" i="9"/>
  <c r="D3" i="9"/>
  <c r="E3" i="9"/>
  <c r="F3" i="9"/>
  <c r="B4" i="9"/>
  <c r="C4" i="9"/>
  <c r="D4" i="9"/>
  <c r="E4" i="9"/>
  <c r="F4" i="9"/>
  <c r="B5" i="9"/>
  <c r="C5" i="9"/>
  <c r="D5" i="9"/>
  <c r="E5" i="9"/>
  <c r="F5" i="9"/>
  <c r="B6" i="9"/>
  <c r="C6" i="9"/>
  <c r="D6" i="9"/>
  <c r="E6" i="9"/>
  <c r="F6" i="9"/>
  <c r="B7" i="9"/>
  <c r="C7" i="9"/>
  <c r="D7" i="9"/>
  <c r="E7" i="9"/>
  <c r="F7" i="9"/>
  <c r="B8" i="9"/>
  <c r="C8" i="9"/>
  <c r="D8" i="9"/>
  <c r="E8" i="9"/>
  <c r="F8" i="9"/>
  <c r="B9" i="9"/>
  <c r="C9" i="9"/>
  <c r="D9" i="9"/>
  <c r="E9" i="9"/>
  <c r="F9" i="9"/>
  <c r="B10" i="9"/>
  <c r="C10" i="9"/>
  <c r="D10" i="9"/>
  <c r="E10" i="9"/>
  <c r="F10" i="9"/>
  <c r="B11" i="9"/>
  <c r="C11" i="9"/>
  <c r="D11" i="9"/>
  <c r="E11" i="9"/>
  <c r="F11" i="9"/>
  <c r="B12" i="9"/>
  <c r="C12" i="9"/>
  <c r="D12" i="9"/>
  <c r="E12" i="9"/>
  <c r="F12" i="9"/>
  <c r="B13" i="9"/>
  <c r="C13" i="9"/>
  <c r="D13" i="9"/>
  <c r="E13" i="9"/>
  <c r="F13" i="9"/>
  <c r="B3" i="10"/>
  <c r="C3" i="10"/>
  <c r="D3" i="10"/>
  <c r="E3" i="10"/>
  <c r="F3" i="10"/>
  <c r="B4" i="10"/>
  <c r="C4" i="10"/>
  <c r="D4" i="10"/>
  <c r="E4" i="10"/>
  <c r="F4" i="10"/>
  <c r="B5" i="10"/>
  <c r="C5" i="10"/>
  <c r="D5" i="10"/>
  <c r="E5" i="10"/>
  <c r="F5" i="10"/>
  <c r="B6" i="10"/>
  <c r="C6" i="10"/>
  <c r="D6" i="10"/>
  <c r="E6" i="10"/>
  <c r="F6" i="10"/>
  <c r="B7" i="10"/>
  <c r="C7" i="10"/>
  <c r="D7" i="10"/>
  <c r="E7" i="10"/>
  <c r="F7" i="10"/>
  <c r="B8" i="10"/>
  <c r="C8" i="10"/>
  <c r="D8" i="10"/>
  <c r="E8" i="10"/>
  <c r="F8" i="10"/>
  <c r="B9" i="10"/>
  <c r="C9" i="10"/>
  <c r="D9" i="10"/>
  <c r="E9" i="10"/>
  <c r="F9" i="10"/>
  <c r="B10" i="10"/>
  <c r="C10" i="10"/>
  <c r="D10" i="10"/>
  <c r="E10" i="10"/>
  <c r="F10" i="10"/>
  <c r="B11" i="10"/>
  <c r="C11" i="10"/>
  <c r="D11" i="10"/>
  <c r="E11" i="10"/>
  <c r="F11" i="10"/>
  <c r="B12" i="10"/>
  <c r="C12" i="10"/>
  <c r="D12" i="10"/>
  <c r="E12" i="10"/>
  <c r="F12" i="10"/>
  <c r="B13" i="10"/>
  <c r="C13" i="10"/>
  <c r="D13" i="10"/>
  <c r="E13" i="10"/>
  <c r="F13" i="10"/>
  <c r="B3" i="11"/>
  <c r="C3" i="11"/>
  <c r="D3" i="11"/>
  <c r="E3" i="11"/>
  <c r="F3" i="11"/>
  <c r="B4" i="11"/>
  <c r="C4" i="11"/>
  <c r="D4" i="11"/>
  <c r="E4" i="11"/>
  <c r="F4" i="11"/>
  <c r="B5" i="11"/>
  <c r="C5" i="11"/>
  <c r="D5" i="11"/>
  <c r="E5" i="11"/>
  <c r="F5" i="11"/>
  <c r="B6" i="11"/>
  <c r="C6" i="11"/>
  <c r="D6" i="11"/>
  <c r="E6" i="11"/>
  <c r="F6" i="11"/>
  <c r="B7" i="11"/>
  <c r="C7" i="11"/>
  <c r="D7" i="11"/>
  <c r="E7" i="11"/>
  <c r="F7" i="11"/>
  <c r="B8" i="11"/>
  <c r="C8" i="11"/>
  <c r="D8" i="11"/>
  <c r="E8" i="11"/>
  <c r="F8" i="11"/>
  <c r="B9" i="11"/>
  <c r="C9" i="11"/>
  <c r="D9" i="11"/>
  <c r="E9" i="11"/>
  <c r="F9" i="11"/>
  <c r="B10" i="11"/>
  <c r="C10" i="11"/>
  <c r="D10" i="11"/>
  <c r="E10" i="11"/>
  <c r="F10" i="11"/>
  <c r="B11" i="11"/>
  <c r="C11" i="11"/>
  <c r="D11" i="11"/>
  <c r="E11" i="11"/>
  <c r="F11" i="11"/>
  <c r="B12" i="11"/>
  <c r="C12" i="11"/>
  <c r="D12" i="11"/>
  <c r="E12" i="11"/>
  <c r="F12" i="11"/>
  <c r="B13" i="11"/>
  <c r="C13" i="11"/>
  <c r="D13" i="11"/>
  <c r="E13" i="11"/>
  <c r="F13" i="11"/>
  <c r="B3" i="12"/>
  <c r="C3" i="12"/>
  <c r="D3" i="12"/>
  <c r="E3" i="12"/>
  <c r="F3" i="12"/>
  <c r="B4" i="12"/>
  <c r="C4" i="12"/>
  <c r="D4" i="12"/>
  <c r="E4" i="12"/>
  <c r="F4" i="12"/>
  <c r="B5" i="12"/>
  <c r="C5" i="12"/>
  <c r="D5" i="12"/>
  <c r="E5" i="12"/>
  <c r="F5" i="12"/>
  <c r="B6" i="12"/>
  <c r="C6" i="12"/>
  <c r="D6" i="12"/>
  <c r="E6" i="12"/>
  <c r="F6" i="12"/>
  <c r="B7" i="12"/>
  <c r="C7" i="12"/>
  <c r="D7" i="12"/>
  <c r="E7" i="12"/>
  <c r="F7" i="12"/>
  <c r="B8" i="12"/>
  <c r="C8" i="12"/>
  <c r="D8" i="12"/>
  <c r="E8" i="12"/>
  <c r="F8" i="12"/>
  <c r="B9" i="12"/>
  <c r="C9" i="12"/>
  <c r="D9" i="12"/>
  <c r="E9" i="12"/>
  <c r="F9" i="12"/>
  <c r="B10" i="12"/>
  <c r="C10" i="12"/>
  <c r="D10" i="12"/>
  <c r="E10" i="12"/>
  <c r="F10" i="12"/>
  <c r="B11" i="12"/>
  <c r="C11" i="12"/>
  <c r="D11" i="12"/>
  <c r="E11" i="12"/>
  <c r="F11" i="12"/>
  <c r="B12" i="12"/>
  <c r="C12" i="12"/>
  <c r="D12" i="12"/>
  <c r="E12" i="12"/>
  <c r="F12" i="12"/>
  <c r="B13" i="12"/>
  <c r="C13" i="12"/>
  <c r="D13" i="12"/>
  <c r="E13" i="12"/>
  <c r="F13" i="12"/>
  <c r="B3" i="13"/>
  <c r="C3" i="13"/>
  <c r="D3" i="13"/>
  <c r="E3" i="13"/>
  <c r="F3" i="13"/>
  <c r="B4" i="13"/>
  <c r="C4" i="13"/>
  <c r="D4" i="13"/>
  <c r="E4" i="13"/>
  <c r="F4" i="13"/>
  <c r="B5" i="13"/>
  <c r="C5" i="13"/>
  <c r="D5" i="13"/>
  <c r="E5" i="13"/>
  <c r="F5" i="13"/>
  <c r="B6" i="13"/>
  <c r="C6" i="13"/>
  <c r="D6" i="13"/>
  <c r="E6" i="13"/>
  <c r="F6" i="13"/>
  <c r="B7" i="13"/>
  <c r="C7" i="13"/>
  <c r="D7" i="13"/>
  <c r="E7" i="13"/>
  <c r="F7" i="13"/>
  <c r="B8" i="13"/>
  <c r="C8" i="13"/>
  <c r="D8" i="13"/>
  <c r="E8" i="13"/>
  <c r="F8" i="13"/>
  <c r="B9" i="13"/>
  <c r="C9" i="13"/>
  <c r="D9" i="13"/>
  <c r="E9" i="13"/>
  <c r="F9" i="13"/>
  <c r="B10" i="13"/>
  <c r="C10" i="13"/>
  <c r="D10" i="13"/>
  <c r="E10" i="13"/>
  <c r="F10" i="13"/>
  <c r="B11" i="13"/>
  <c r="C11" i="13"/>
  <c r="D11" i="13"/>
  <c r="E11" i="13"/>
  <c r="F11" i="13"/>
  <c r="B12" i="13"/>
  <c r="C12" i="13"/>
  <c r="D12" i="13"/>
  <c r="E12" i="13"/>
  <c r="F12" i="13"/>
  <c r="B13" i="13"/>
  <c r="C13" i="13"/>
  <c r="D13" i="13"/>
  <c r="E13" i="13"/>
  <c r="F13" i="13"/>
  <c r="B3" i="14"/>
  <c r="C3" i="14"/>
  <c r="D3" i="14"/>
  <c r="E3" i="14"/>
  <c r="F3" i="14"/>
  <c r="B4" i="14"/>
  <c r="C4" i="14"/>
  <c r="D4" i="14"/>
  <c r="E4" i="14"/>
  <c r="F4" i="14"/>
  <c r="B5" i="14"/>
  <c r="C5" i="14"/>
  <c r="D5" i="14"/>
  <c r="E5" i="14"/>
  <c r="F5" i="14"/>
  <c r="B6" i="14"/>
  <c r="C6" i="14"/>
  <c r="D6" i="14"/>
  <c r="E6" i="14"/>
  <c r="F6" i="14"/>
  <c r="B7" i="14"/>
  <c r="C7" i="14"/>
  <c r="D7" i="14"/>
  <c r="E7" i="14"/>
  <c r="F7" i="14"/>
  <c r="B8" i="14"/>
  <c r="C8" i="14"/>
  <c r="D8" i="14"/>
  <c r="E8" i="14"/>
  <c r="F8" i="14"/>
  <c r="B9" i="14"/>
  <c r="C9" i="14"/>
  <c r="D9" i="14"/>
  <c r="E9" i="14"/>
  <c r="F9" i="14"/>
  <c r="B10" i="14"/>
  <c r="C10" i="14"/>
  <c r="D10" i="14"/>
  <c r="E10" i="14"/>
  <c r="F10" i="14"/>
  <c r="B11" i="14"/>
  <c r="C11" i="14"/>
  <c r="D11" i="14"/>
  <c r="E11" i="14"/>
  <c r="F11" i="14"/>
  <c r="B12" i="14"/>
  <c r="C12" i="14"/>
  <c r="D12" i="14"/>
  <c r="E12" i="14"/>
  <c r="F12" i="14"/>
  <c r="B13" i="14"/>
  <c r="C13" i="14"/>
  <c r="D13" i="14"/>
  <c r="E13" i="14"/>
  <c r="F13" i="14"/>
  <c r="B3" i="15"/>
  <c r="C3" i="15"/>
  <c r="D3" i="15"/>
  <c r="E3" i="15"/>
  <c r="F3" i="15"/>
  <c r="B4" i="15"/>
  <c r="C4" i="15"/>
  <c r="D4" i="15"/>
  <c r="E4" i="15"/>
  <c r="F4" i="15"/>
  <c r="B5" i="15"/>
  <c r="C5" i="15"/>
  <c r="D5" i="15"/>
  <c r="E5" i="15"/>
  <c r="F5" i="15"/>
  <c r="B6" i="15"/>
  <c r="C6" i="15"/>
  <c r="D6" i="15"/>
  <c r="E6" i="15"/>
  <c r="F6" i="15"/>
  <c r="B7" i="15"/>
  <c r="C7" i="15"/>
  <c r="D7" i="15"/>
  <c r="E7" i="15"/>
  <c r="F7" i="15"/>
  <c r="B8" i="15"/>
  <c r="C8" i="15"/>
  <c r="D8" i="15"/>
  <c r="E8" i="15"/>
  <c r="F8" i="15"/>
  <c r="B9" i="15"/>
  <c r="C9" i="15"/>
  <c r="D9" i="15"/>
  <c r="E9" i="15"/>
  <c r="F9" i="15"/>
  <c r="B10" i="15"/>
  <c r="C10" i="15"/>
  <c r="D10" i="15"/>
  <c r="E10" i="15"/>
  <c r="F10" i="15"/>
  <c r="B11" i="15"/>
  <c r="C11" i="15"/>
  <c r="D11" i="15"/>
  <c r="E11" i="15"/>
  <c r="F11" i="15"/>
  <c r="B12" i="15"/>
  <c r="C12" i="15"/>
  <c r="D12" i="15"/>
  <c r="E12" i="15"/>
  <c r="F12" i="15"/>
  <c r="B13" i="15"/>
  <c r="C13" i="15"/>
  <c r="D13" i="15"/>
  <c r="E13" i="15"/>
  <c r="F13" i="15"/>
  <c r="B3" i="16"/>
  <c r="C3" i="16"/>
  <c r="D3" i="16"/>
  <c r="E3" i="16"/>
  <c r="F3" i="16"/>
  <c r="B4" i="16"/>
  <c r="C4" i="16"/>
  <c r="D4" i="16"/>
  <c r="E4" i="16"/>
  <c r="F4" i="16"/>
  <c r="B5" i="16"/>
  <c r="C5" i="16"/>
  <c r="D5" i="16"/>
  <c r="E5" i="16"/>
  <c r="F5" i="16"/>
  <c r="B6" i="16"/>
  <c r="C6" i="16"/>
  <c r="D6" i="16"/>
  <c r="E6" i="16"/>
  <c r="F6" i="16"/>
  <c r="B7" i="16"/>
  <c r="C7" i="16"/>
  <c r="D7" i="16"/>
  <c r="E7" i="16"/>
  <c r="F7" i="16"/>
  <c r="B8" i="16"/>
  <c r="C8" i="16"/>
  <c r="D8" i="16"/>
  <c r="E8" i="16"/>
  <c r="F8" i="16"/>
  <c r="B9" i="16"/>
  <c r="C9" i="16"/>
  <c r="D9" i="16"/>
  <c r="E9" i="16"/>
  <c r="F9" i="16"/>
  <c r="B10" i="16"/>
  <c r="C10" i="16"/>
  <c r="D10" i="16"/>
  <c r="E10" i="16"/>
  <c r="F10" i="16"/>
  <c r="B11" i="16"/>
  <c r="C11" i="16"/>
  <c r="D11" i="16"/>
  <c r="E11" i="16"/>
  <c r="F11" i="16"/>
  <c r="B12" i="16"/>
  <c r="C12" i="16"/>
  <c r="D12" i="16"/>
  <c r="E12" i="16"/>
  <c r="F12" i="16"/>
  <c r="B13" i="16"/>
  <c r="C13" i="16"/>
  <c r="D13" i="16"/>
  <c r="E13" i="16"/>
  <c r="F13" i="16"/>
  <c r="B3" i="17"/>
  <c r="C3" i="17"/>
  <c r="D3" i="17"/>
  <c r="E3" i="17"/>
  <c r="F3" i="17"/>
  <c r="B4" i="17"/>
  <c r="C4" i="17"/>
  <c r="D4" i="17"/>
  <c r="E4" i="17"/>
  <c r="F4" i="17"/>
  <c r="B5" i="17"/>
  <c r="C5" i="17"/>
  <c r="D5" i="17"/>
  <c r="E5" i="17"/>
  <c r="F5" i="17"/>
  <c r="B6" i="17"/>
  <c r="C6" i="17"/>
  <c r="D6" i="17"/>
  <c r="E6" i="17"/>
  <c r="F6" i="17"/>
  <c r="B7" i="17"/>
  <c r="C7" i="17"/>
  <c r="D7" i="17"/>
  <c r="E7" i="17"/>
  <c r="F7" i="17"/>
  <c r="B8" i="17"/>
  <c r="C8" i="17"/>
  <c r="D8" i="17"/>
  <c r="E8" i="17"/>
  <c r="F8" i="17"/>
  <c r="B9" i="17"/>
  <c r="C9" i="17"/>
  <c r="D9" i="17"/>
  <c r="E9" i="17"/>
  <c r="F9" i="17"/>
  <c r="B10" i="17"/>
  <c r="C10" i="17"/>
  <c r="D10" i="17"/>
  <c r="E10" i="17"/>
  <c r="F10" i="17"/>
  <c r="B11" i="17"/>
  <c r="C11" i="17"/>
  <c r="D11" i="17"/>
  <c r="E11" i="17"/>
  <c r="F11" i="17"/>
  <c r="B12" i="17"/>
  <c r="C12" i="17"/>
  <c r="D12" i="17"/>
  <c r="E12" i="17"/>
  <c r="F12" i="17"/>
  <c r="B13" i="17"/>
  <c r="C13" i="17"/>
  <c r="D13" i="17"/>
  <c r="E13" i="17"/>
  <c r="F13" i="17"/>
  <c r="B3" i="18"/>
  <c r="C3" i="18"/>
  <c r="D3" i="18"/>
  <c r="E3" i="18"/>
  <c r="F3" i="18"/>
  <c r="B4" i="18"/>
  <c r="C4" i="18"/>
  <c r="D4" i="18"/>
  <c r="E4" i="18"/>
  <c r="F4" i="18"/>
  <c r="B5" i="18"/>
  <c r="C5" i="18"/>
  <c r="D5" i="18"/>
  <c r="E5" i="18"/>
  <c r="F5" i="18"/>
  <c r="B6" i="18"/>
  <c r="C6" i="18"/>
  <c r="D6" i="18"/>
  <c r="E6" i="18"/>
  <c r="F6" i="18"/>
  <c r="B7" i="18"/>
  <c r="C7" i="18"/>
  <c r="D7" i="18"/>
  <c r="E7" i="18"/>
  <c r="F7" i="18"/>
  <c r="B8" i="18"/>
  <c r="C8" i="18"/>
  <c r="D8" i="18"/>
  <c r="E8" i="18"/>
  <c r="F8" i="18"/>
  <c r="B9" i="18"/>
  <c r="C9" i="18"/>
  <c r="D9" i="18"/>
  <c r="E9" i="18"/>
  <c r="F9" i="18"/>
  <c r="B10" i="18"/>
  <c r="C10" i="18"/>
  <c r="D10" i="18"/>
  <c r="E10" i="18"/>
  <c r="F10" i="18"/>
  <c r="B11" i="18"/>
  <c r="C11" i="18"/>
  <c r="D11" i="18"/>
  <c r="E11" i="18"/>
  <c r="F11" i="18"/>
  <c r="B12" i="18"/>
  <c r="C12" i="18"/>
  <c r="D12" i="18"/>
  <c r="E12" i="18"/>
  <c r="F12" i="18"/>
  <c r="B13" i="18"/>
  <c r="C13" i="18"/>
  <c r="D13" i="18"/>
  <c r="E13" i="18"/>
  <c r="F13" i="18"/>
  <c r="B3" i="19"/>
  <c r="C3" i="19"/>
  <c r="D3" i="19"/>
  <c r="E3" i="19"/>
  <c r="F3" i="19"/>
  <c r="B4" i="19"/>
  <c r="C4" i="19"/>
  <c r="D4" i="19"/>
  <c r="E4" i="19"/>
  <c r="F4" i="19"/>
  <c r="B5" i="19"/>
  <c r="C5" i="19"/>
  <c r="D5" i="19"/>
  <c r="E5" i="19"/>
  <c r="F5" i="19"/>
  <c r="B6" i="19"/>
  <c r="C6" i="19"/>
  <c r="D6" i="19"/>
  <c r="E6" i="19"/>
  <c r="F6" i="19"/>
  <c r="B7" i="19"/>
  <c r="C7" i="19"/>
  <c r="D7" i="19"/>
  <c r="E7" i="19"/>
  <c r="F7" i="19"/>
  <c r="B8" i="19"/>
  <c r="C8" i="19"/>
  <c r="D8" i="19"/>
  <c r="E8" i="19"/>
  <c r="F8" i="19"/>
  <c r="B9" i="19"/>
  <c r="C9" i="19"/>
  <c r="D9" i="19"/>
  <c r="E9" i="19"/>
  <c r="F9" i="19"/>
  <c r="B10" i="19"/>
  <c r="C10" i="19"/>
  <c r="D10" i="19"/>
  <c r="E10" i="19"/>
  <c r="F10" i="19"/>
  <c r="B11" i="19"/>
  <c r="C11" i="19"/>
  <c r="D11" i="19"/>
  <c r="E11" i="19"/>
  <c r="F11" i="19"/>
  <c r="B12" i="19"/>
  <c r="C12" i="19"/>
  <c r="D12" i="19"/>
  <c r="E12" i="19"/>
  <c r="F12" i="19"/>
  <c r="B13" i="19"/>
  <c r="C13" i="19"/>
  <c r="D13" i="19"/>
  <c r="E13" i="19"/>
  <c r="F13" i="19"/>
  <c r="B3" i="20"/>
  <c r="C3" i="20"/>
  <c r="D3" i="20"/>
  <c r="E3" i="20"/>
  <c r="F3" i="20"/>
  <c r="B4" i="20"/>
  <c r="C4" i="20"/>
  <c r="D4" i="20"/>
  <c r="E4" i="20"/>
  <c r="F4" i="20"/>
  <c r="B5" i="20"/>
  <c r="C5" i="20"/>
  <c r="D5" i="20"/>
  <c r="E5" i="20"/>
  <c r="F5" i="20"/>
  <c r="B6" i="20"/>
  <c r="C6" i="20"/>
  <c r="D6" i="20"/>
  <c r="E6" i="20"/>
  <c r="F6" i="20"/>
  <c r="B7" i="20"/>
  <c r="C7" i="20"/>
  <c r="D7" i="20"/>
  <c r="E7" i="20"/>
  <c r="F7" i="20"/>
  <c r="B8" i="20"/>
  <c r="C8" i="20"/>
  <c r="D8" i="20"/>
  <c r="E8" i="20"/>
  <c r="F8" i="20"/>
  <c r="B9" i="20"/>
  <c r="C9" i="20"/>
  <c r="D9" i="20"/>
  <c r="E9" i="20"/>
  <c r="F9" i="20"/>
  <c r="B10" i="20"/>
  <c r="C10" i="20"/>
  <c r="D10" i="20"/>
  <c r="E10" i="20"/>
  <c r="F10" i="20"/>
  <c r="B11" i="20"/>
  <c r="C11" i="20"/>
  <c r="D11" i="20"/>
  <c r="E11" i="20"/>
  <c r="F11" i="20"/>
  <c r="B12" i="20"/>
  <c r="C12" i="20"/>
  <c r="D12" i="20"/>
  <c r="E12" i="20"/>
  <c r="F12" i="20"/>
  <c r="B13" i="20"/>
  <c r="C13" i="20"/>
  <c r="D13" i="20"/>
  <c r="E13" i="20"/>
  <c r="F13" i="20"/>
  <c r="B3" i="21"/>
  <c r="C3" i="21"/>
  <c r="D3" i="21"/>
  <c r="E3" i="21"/>
  <c r="F3" i="21"/>
  <c r="B4" i="21"/>
  <c r="C4" i="21"/>
  <c r="D4" i="21"/>
  <c r="E4" i="21"/>
  <c r="F4" i="21"/>
  <c r="B5" i="21"/>
  <c r="C5" i="21"/>
  <c r="D5" i="21"/>
  <c r="E5" i="21"/>
  <c r="F5" i="21"/>
  <c r="B6" i="21"/>
  <c r="C6" i="21"/>
  <c r="D6" i="21"/>
  <c r="E6" i="21"/>
  <c r="F6" i="21"/>
  <c r="B7" i="21"/>
  <c r="C7" i="21"/>
  <c r="D7" i="21"/>
  <c r="E7" i="21"/>
  <c r="F7" i="21"/>
  <c r="B8" i="21"/>
  <c r="C8" i="21"/>
  <c r="D8" i="21"/>
  <c r="E8" i="21"/>
  <c r="F8" i="21"/>
  <c r="B9" i="21"/>
  <c r="C9" i="21"/>
  <c r="D9" i="21"/>
  <c r="E9" i="21"/>
  <c r="F9" i="21"/>
  <c r="B10" i="21"/>
  <c r="C10" i="21"/>
  <c r="D10" i="21"/>
  <c r="E10" i="21"/>
  <c r="F10" i="21"/>
  <c r="B11" i="21"/>
  <c r="C11" i="21"/>
  <c r="D11" i="21"/>
  <c r="E11" i="21"/>
  <c r="F11" i="21"/>
  <c r="B12" i="21"/>
  <c r="C12" i="21"/>
  <c r="D12" i="21"/>
  <c r="E12" i="21"/>
  <c r="F12" i="21"/>
  <c r="B13" i="21"/>
  <c r="C13" i="21"/>
  <c r="D13" i="21"/>
  <c r="E13" i="21"/>
  <c r="F13" i="21"/>
  <c r="B3" i="22"/>
  <c r="C3" i="22"/>
  <c r="D3" i="22"/>
  <c r="E3" i="22"/>
  <c r="F3" i="22"/>
  <c r="B4" i="22"/>
  <c r="C4" i="22"/>
  <c r="D4" i="22"/>
  <c r="E4" i="22"/>
  <c r="F4" i="22"/>
  <c r="B5" i="22"/>
  <c r="C5" i="22"/>
  <c r="D5" i="22"/>
  <c r="E5" i="22"/>
  <c r="F5" i="22"/>
  <c r="B6" i="22"/>
  <c r="C6" i="22"/>
  <c r="D6" i="22"/>
  <c r="E6" i="22"/>
  <c r="F6" i="22"/>
  <c r="B7" i="22"/>
  <c r="C7" i="22"/>
  <c r="D7" i="22"/>
  <c r="E7" i="22"/>
  <c r="F7" i="22"/>
  <c r="B8" i="22"/>
  <c r="C8" i="22"/>
  <c r="D8" i="22"/>
  <c r="E8" i="22"/>
  <c r="F8" i="22"/>
  <c r="B9" i="22"/>
  <c r="C9" i="22"/>
  <c r="D9" i="22"/>
  <c r="E9" i="22"/>
  <c r="F9" i="22"/>
  <c r="B10" i="22"/>
  <c r="C10" i="22"/>
  <c r="D10" i="22"/>
  <c r="E10" i="22"/>
  <c r="F10" i="22"/>
  <c r="B11" i="22"/>
  <c r="C11" i="22"/>
  <c r="D11" i="22"/>
  <c r="E11" i="22"/>
  <c r="F11" i="22"/>
  <c r="B12" i="22"/>
  <c r="C12" i="22"/>
  <c r="D12" i="22"/>
  <c r="E12" i="22"/>
  <c r="F12" i="22"/>
  <c r="B13" i="22"/>
  <c r="C13" i="22"/>
  <c r="D13" i="22"/>
  <c r="E13" i="22"/>
  <c r="F13" i="22"/>
  <c r="B3" i="23"/>
  <c r="C3" i="23"/>
  <c r="D3" i="23"/>
  <c r="E3" i="23"/>
  <c r="F3" i="23"/>
  <c r="B4" i="23"/>
  <c r="C4" i="23"/>
  <c r="D4" i="23"/>
  <c r="E4" i="23"/>
  <c r="F4" i="23"/>
  <c r="B5" i="23"/>
  <c r="C5" i="23"/>
  <c r="D5" i="23"/>
  <c r="E5" i="23"/>
  <c r="F5" i="23"/>
  <c r="B6" i="23"/>
  <c r="C6" i="23"/>
  <c r="D6" i="23"/>
  <c r="E6" i="23"/>
  <c r="F6" i="23"/>
  <c r="B7" i="23"/>
  <c r="C7" i="23"/>
  <c r="D7" i="23"/>
  <c r="E7" i="23"/>
  <c r="F7" i="23"/>
  <c r="B8" i="23"/>
  <c r="C8" i="23"/>
  <c r="D8" i="23"/>
  <c r="E8" i="23"/>
  <c r="F8" i="23"/>
  <c r="B9" i="23"/>
  <c r="C9" i="23"/>
  <c r="D9" i="23"/>
  <c r="E9" i="23"/>
  <c r="F9" i="23"/>
  <c r="B10" i="23"/>
  <c r="C10" i="23"/>
  <c r="D10" i="23"/>
  <c r="E10" i="23"/>
  <c r="F10" i="23"/>
  <c r="B11" i="23"/>
  <c r="C11" i="23"/>
  <c r="D11" i="23"/>
  <c r="E11" i="23"/>
  <c r="F11" i="23"/>
  <c r="B12" i="23"/>
  <c r="C12" i="23"/>
  <c r="D12" i="23"/>
  <c r="E12" i="23"/>
  <c r="F12" i="23"/>
  <c r="B13" i="23"/>
  <c r="C13" i="23"/>
  <c r="D13" i="23"/>
  <c r="E13" i="23"/>
  <c r="F13" i="23"/>
  <c r="B3" i="24"/>
  <c r="C3" i="24"/>
  <c r="D3" i="24"/>
  <c r="E3" i="24"/>
  <c r="F3" i="24"/>
  <c r="B4" i="24"/>
  <c r="C4" i="24"/>
  <c r="D4" i="24"/>
  <c r="E4" i="24"/>
  <c r="F4" i="24"/>
  <c r="B5" i="24"/>
  <c r="C5" i="24"/>
  <c r="D5" i="24"/>
  <c r="E5" i="24"/>
  <c r="F5" i="24"/>
  <c r="B6" i="24"/>
  <c r="C6" i="24"/>
  <c r="D6" i="24"/>
  <c r="E6" i="24"/>
  <c r="F6" i="24"/>
  <c r="B7" i="24"/>
  <c r="C7" i="24"/>
  <c r="D7" i="24"/>
  <c r="E7" i="24"/>
  <c r="F7" i="24"/>
  <c r="B8" i="24"/>
  <c r="C8" i="24"/>
  <c r="D8" i="24"/>
  <c r="E8" i="24"/>
  <c r="F8" i="24"/>
  <c r="B9" i="24"/>
  <c r="C9" i="24"/>
  <c r="D9" i="24"/>
  <c r="E9" i="24"/>
  <c r="F9" i="24"/>
  <c r="B10" i="24"/>
  <c r="C10" i="24"/>
  <c r="D10" i="24"/>
  <c r="E10" i="24"/>
  <c r="F10" i="24"/>
  <c r="B11" i="24"/>
  <c r="C11" i="24"/>
  <c r="D11" i="24"/>
  <c r="E11" i="24"/>
  <c r="F11" i="24"/>
  <c r="B12" i="24"/>
  <c r="C12" i="24"/>
  <c r="D12" i="24"/>
  <c r="E12" i="24"/>
  <c r="F12" i="24"/>
  <c r="B13" i="24"/>
  <c r="C13" i="24"/>
  <c r="D13" i="24"/>
  <c r="E13" i="24"/>
  <c r="F13" i="24"/>
  <c r="B3" i="25"/>
  <c r="C3" i="25"/>
  <c r="D3" i="25"/>
  <c r="E3" i="25"/>
  <c r="F3" i="25"/>
  <c r="B4" i="25"/>
  <c r="C4" i="25"/>
  <c r="D4" i="25"/>
  <c r="E4" i="25"/>
  <c r="F4" i="25"/>
  <c r="B5" i="25"/>
  <c r="C5" i="25"/>
  <c r="D5" i="25"/>
  <c r="E5" i="25"/>
  <c r="F5" i="25"/>
  <c r="B6" i="25"/>
  <c r="C6" i="25"/>
  <c r="D6" i="25"/>
  <c r="E6" i="25"/>
  <c r="F6" i="25"/>
  <c r="B7" i="25"/>
  <c r="C7" i="25"/>
  <c r="D7" i="25"/>
  <c r="E7" i="25"/>
  <c r="F7" i="25"/>
  <c r="B8" i="25"/>
  <c r="C8" i="25"/>
  <c r="D8" i="25"/>
  <c r="E8" i="25"/>
  <c r="F8" i="25"/>
  <c r="B9" i="25"/>
  <c r="C9" i="25"/>
  <c r="D9" i="25"/>
  <c r="E9" i="25"/>
  <c r="F9" i="25"/>
  <c r="B10" i="25"/>
  <c r="C10" i="25"/>
  <c r="D10" i="25"/>
  <c r="E10" i="25"/>
  <c r="F10" i="25"/>
  <c r="B11" i="25"/>
  <c r="C11" i="25"/>
  <c r="D11" i="25"/>
  <c r="E11" i="25"/>
  <c r="F11" i="25"/>
  <c r="B12" i="25"/>
  <c r="C12" i="25"/>
  <c r="D12" i="25"/>
  <c r="E12" i="25"/>
  <c r="F12" i="25"/>
  <c r="B13" i="25"/>
  <c r="C13" i="25"/>
  <c r="D13" i="25"/>
  <c r="E13" i="25"/>
  <c r="F13" i="25"/>
  <c r="B3" i="26"/>
  <c r="C3" i="26"/>
  <c r="D3" i="26"/>
  <c r="E3" i="26"/>
  <c r="F3" i="26"/>
  <c r="B4" i="26"/>
  <c r="C4" i="26"/>
  <c r="D4" i="26"/>
  <c r="E4" i="26"/>
  <c r="F4" i="26"/>
  <c r="B5" i="26"/>
  <c r="C5" i="26"/>
  <c r="D5" i="26"/>
  <c r="E5" i="26"/>
  <c r="F5" i="26"/>
  <c r="B6" i="26"/>
  <c r="C6" i="26"/>
  <c r="D6" i="26"/>
  <c r="E6" i="26"/>
  <c r="F6" i="26"/>
  <c r="B7" i="26"/>
  <c r="C7" i="26"/>
  <c r="D7" i="26"/>
  <c r="E7" i="26"/>
  <c r="F7" i="26"/>
  <c r="B8" i="26"/>
  <c r="C8" i="26"/>
  <c r="D8" i="26"/>
  <c r="E8" i="26"/>
  <c r="F8" i="26"/>
  <c r="B9" i="26"/>
  <c r="C9" i="26"/>
  <c r="D9" i="26"/>
  <c r="E9" i="26"/>
  <c r="F9" i="26"/>
  <c r="B10" i="26"/>
  <c r="C10" i="26"/>
  <c r="D10" i="26"/>
  <c r="E10" i="26"/>
  <c r="F10" i="26"/>
  <c r="B11" i="26"/>
  <c r="C11" i="26"/>
  <c r="D11" i="26"/>
  <c r="E11" i="26"/>
  <c r="F11" i="26"/>
  <c r="B12" i="26"/>
  <c r="C12" i="26"/>
  <c r="D12" i="26"/>
  <c r="E12" i="26"/>
  <c r="F12" i="26"/>
  <c r="B13" i="26"/>
  <c r="C13" i="26"/>
  <c r="D13" i="26"/>
  <c r="E13" i="26"/>
  <c r="F13" i="26"/>
  <c r="B3" i="27"/>
  <c r="C3" i="27"/>
  <c r="D3" i="27"/>
  <c r="E3" i="27"/>
  <c r="F3" i="27"/>
  <c r="B4" i="27"/>
  <c r="C4" i="27"/>
  <c r="D4" i="27"/>
  <c r="E4" i="27"/>
  <c r="F4" i="27"/>
  <c r="B5" i="27"/>
  <c r="C5" i="27"/>
  <c r="D5" i="27"/>
  <c r="E5" i="27"/>
  <c r="F5" i="27"/>
  <c r="B6" i="27"/>
  <c r="C6" i="27"/>
  <c r="D6" i="27"/>
  <c r="E6" i="27"/>
  <c r="F6" i="27"/>
  <c r="B7" i="27"/>
  <c r="C7" i="27"/>
  <c r="D7" i="27"/>
  <c r="E7" i="27"/>
  <c r="F7" i="27"/>
  <c r="B8" i="27"/>
  <c r="C8" i="27"/>
  <c r="D8" i="27"/>
  <c r="E8" i="27"/>
  <c r="F8" i="27"/>
  <c r="B9" i="27"/>
  <c r="C9" i="27"/>
  <c r="D9" i="27"/>
  <c r="E9" i="27"/>
  <c r="F9" i="27"/>
  <c r="B10" i="27"/>
  <c r="C10" i="27"/>
  <c r="D10" i="27"/>
  <c r="E10" i="27"/>
  <c r="F10" i="27"/>
  <c r="B11" i="27"/>
  <c r="C11" i="27"/>
  <c r="D11" i="27"/>
  <c r="E11" i="27"/>
  <c r="F11" i="27"/>
  <c r="B12" i="27"/>
  <c r="C12" i="27"/>
  <c r="D12" i="27"/>
  <c r="E12" i="27"/>
  <c r="F12" i="27"/>
  <c r="B13" i="27"/>
  <c r="C13" i="27"/>
  <c r="D13" i="27"/>
  <c r="E13" i="27"/>
  <c r="F13" i="27"/>
  <c r="B3" i="28"/>
  <c r="C3" i="28"/>
  <c r="D3" i="28"/>
  <c r="E3" i="28"/>
  <c r="F3" i="28"/>
  <c r="B4" i="28"/>
  <c r="C4" i="28"/>
  <c r="D4" i="28"/>
  <c r="E4" i="28"/>
  <c r="F4" i="28"/>
  <c r="B5" i="28"/>
  <c r="C5" i="28"/>
  <c r="D5" i="28"/>
  <c r="E5" i="28"/>
  <c r="F5" i="28"/>
  <c r="B6" i="28"/>
  <c r="C6" i="28"/>
  <c r="D6" i="28"/>
  <c r="E6" i="28"/>
  <c r="F6" i="28"/>
  <c r="B7" i="28"/>
  <c r="C7" i="28"/>
  <c r="D7" i="28"/>
  <c r="E7" i="28"/>
  <c r="F7" i="28"/>
  <c r="B8" i="28"/>
  <c r="C8" i="28"/>
  <c r="D8" i="28"/>
  <c r="E8" i="28"/>
  <c r="F8" i="28"/>
  <c r="B9" i="28"/>
  <c r="C9" i="28"/>
  <c r="D9" i="28"/>
  <c r="E9" i="28"/>
  <c r="F9" i="28"/>
  <c r="B10" i="28"/>
  <c r="C10" i="28"/>
  <c r="D10" i="28"/>
  <c r="E10" i="28"/>
  <c r="F10" i="28"/>
  <c r="B11" i="28"/>
  <c r="C11" i="28"/>
  <c r="D11" i="28"/>
  <c r="E11" i="28"/>
  <c r="F11" i="28"/>
  <c r="B12" i="28"/>
  <c r="C12" i="28"/>
  <c r="D12" i="28"/>
  <c r="E12" i="28"/>
  <c r="F12" i="28"/>
  <c r="B13" i="28"/>
  <c r="C13" i="28"/>
  <c r="D13" i="28"/>
  <c r="E13" i="28"/>
  <c r="F13" i="28"/>
  <c r="B3" i="29"/>
  <c r="C3" i="29"/>
  <c r="D3" i="29"/>
  <c r="E3" i="29"/>
  <c r="F3" i="29"/>
  <c r="B4" i="29"/>
  <c r="C4" i="29"/>
  <c r="D4" i="29"/>
  <c r="E4" i="29"/>
  <c r="F4" i="29"/>
  <c r="B5" i="29"/>
  <c r="C5" i="29"/>
  <c r="D5" i="29"/>
  <c r="E5" i="29"/>
  <c r="F5" i="29"/>
  <c r="B6" i="29"/>
  <c r="C6" i="29"/>
  <c r="D6" i="29"/>
  <c r="E6" i="29"/>
  <c r="F6" i="29"/>
  <c r="B7" i="29"/>
  <c r="C7" i="29"/>
  <c r="D7" i="29"/>
  <c r="E7" i="29"/>
  <c r="F7" i="29"/>
  <c r="B8" i="29"/>
  <c r="C8" i="29"/>
  <c r="D8" i="29"/>
  <c r="E8" i="29"/>
  <c r="F8" i="29"/>
  <c r="B9" i="29"/>
  <c r="C9" i="29"/>
  <c r="D9" i="29"/>
  <c r="E9" i="29"/>
  <c r="F9" i="29"/>
  <c r="B10" i="29"/>
  <c r="C10" i="29"/>
  <c r="D10" i="29"/>
  <c r="E10" i="29"/>
  <c r="F10" i="29"/>
  <c r="B11" i="29"/>
  <c r="C11" i="29"/>
  <c r="D11" i="29"/>
  <c r="E11" i="29"/>
  <c r="F11" i="29"/>
  <c r="B12" i="29"/>
  <c r="C12" i="29"/>
  <c r="D12" i="29"/>
  <c r="E12" i="29"/>
  <c r="F12" i="29"/>
  <c r="B13" i="29"/>
  <c r="C13" i="29"/>
  <c r="D13" i="29"/>
  <c r="E13" i="29"/>
  <c r="F13" i="29"/>
  <c r="B3" i="30"/>
  <c r="C3" i="30"/>
  <c r="D3" i="30"/>
  <c r="E3" i="30"/>
  <c r="F3" i="30"/>
  <c r="B4" i="30"/>
  <c r="C4" i="30"/>
  <c r="D4" i="30"/>
  <c r="E4" i="30"/>
  <c r="F4" i="30"/>
  <c r="B5" i="30"/>
  <c r="C5" i="30"/>
  <c r="D5" i="30"/>
  <c r="E5" i="30"/>
  <c r="F5" i="30"/>
  <c r="B6" i="30"/>
  <c r="C6" i="30"/>
  <c r="D6" i="30"/>
  <c r="E6" i="30"/>
  <c r="F6" i="30"/>
  <c r="B7" i="30"/>
  <c r="C7" i="30"/>
  <c r="D7" i="30"/>
  <c r="E7" i="30"/>
  <c r="F7" i="30"/>
  <c r="B8" i="30"/>
  <c r="C8" i="30"/>
  <c r="D8" i="30"/>
  <c r="E8" i="30"/>
  <c r="F8" i="30"/>
  <c r="B9" i="30"/>
  <c r="C9" i="30"/>
  <c r="D9" i="30"/>
  <c r="E9" i="30"/>
  <c r="F9" i="30"/>
  <c r="B10" i="30"/>
  <c r="C10" i="30"/>
  <c r="D10" i="30"/>
  <c r="E10" i="30"/>
  <c r="F10" i="30"/>
  <c r="B11" i="30"/>
  <c r="C11" i="30"/>
  <c r="D11" i="30"/>
  <c r="E11" i="30"/>
  <c r="F11" i="30"/>
  <c r="B12" i="30"/>
  <c r="C12" i="30"/>
  <c r="D12" i="30"/>
  <c r="E12" i="30"/>
  <c r="F12" i="30"/>
  <c r="B13" i="30"/>
  <c r="C13" i="30"/>
  <c r="D13" i="30"/>
  <c r="E13" i="30"/>
  <c r="F13" i="30"/>
  <c r="B3" i="31"/>
  <c r="C3" i="31"/>
  <c r="D3" i="31"/>
  <c r="E3" i="31"/>
  <c r="F3" i="31"/>
  <c r="B4" i="31"/>
  <c r="C4" i="31"/>
  <c r="D4" i="31"/>
  <c r="E4" i="31"/>
  <c r="F4" i="31"/>
  <c r="B5" i="31"/>
  <c r="C5" i="31"/>
  <c r="D5" i="31"/>
  <c r="E5" i="31"/>
  <c r="F5" i="31"/>
  <c r="B6" i="31"/>
  <c r="C6" i="31"/>
  <c r="D6" i="31"/>
  <c r="E6" i="31"/>
  <c r="F6" i="31"/>
  <c r="B7" i="31"/>
  <c r="C7" i="31"/>
  <c r="D7" i="31"/>
  <c r="E7" i="31"/>
  <c r="F7" i="31"/>
  <c r="B8" i="31"/>
  <c r="C8" i="31"/>
  <c r="D8" i="31"/>
  <c r="E8" i="31"/>
  <c r="F8" i="31"/>
  <c r="B9" i="31"/>
  <c r="C9" i="31"/>
  <c r="D9" i="31"/>
  <c r="E9" i="31"/>
  <c r="F9" i="31"/>
  <c r="B10" i="31"/>
  <c r="C10" i="31"/>
  <c r="D10" i="31"/>
  <c r="E10" i="31"/>
  <c r="F10" i="31"/>
  <c r="B11" i="31"/>
  <c r="C11" i="31"/>
  <c r="D11" i="31"/>
  <c r="E11" i="31"/>
  <c r="F11" i="31"/>
  <c r="B12" i="31"/>
  <c r="C12" i="31"/>
  <c r="D12" i="31"/>
  <c r="E12" i="31"/>
  <c r="F12" i="31"/>
  <c r="B13" i="31"/>
  <c r="C13" i="31"/>
  <c r="D13" i="31"/>
  <c r="E13" i="31"/>
  <c r="F13" i="31"/>
  <c r="B3" i="32"/>
  <c r="C3" i="32"/>
  <c r="D3" i="32"/>
  <c r="E3" i="32"/>
  <c r="F3" i="32"/>
  <c r="B4" i="32"/>
  <c r="C4" i="32"/>
  <c r="D4" i="32"/>
  <c r="E4" i="32"/>
  <c r="F4" i="32"/>
  <c r="B5" i="32"/>
  <c r="C5" i="32"/>
  <c r="D5" i="32"/>
  <c r="E5" i="32"/>
  <c r="F5" i="32"/>
  <c r="B6" i="32"/>
  <c r="C6" i="32"/>
  <c r="D6" i="32"/>
  <c r="E6" i="32"/>
  <c r="F6" i="32"/>
  <c r="B7" i="32"/>
  <c r="C7" i="32"/>
  <c r="D7" i="32"/>
  <c r="E7" i="32"/>
  <c r="F7" i="32"/>
  <c r="B8" i="32"/>
  <c r="C8" i="32"/>
  <c r="D8" i="32"/>
  <c r="E8" i="32"/>
  <c r="F8" i="32"/>
  <c r="B9" i="32"/>
  <c r="C9" i="32"/>
  <c r="D9" i="32"/>
  <c r="E9" i="32"/>
  <c r="F9" i="32"/>
  <c r="B10" i="32"/>
  <c r="C10" i="32"/>
  <c r="D10" i="32"/>
  <c r="E10" i="32"/>
  <c r="F10" i="32"/>
  <c r="B11" i="32"/>
  <c r="C11" i="32"/>
  <c r="D11" i="32"/>
  <c r="E11" i="32"/>
  <c r="F11" i="32"/>
  <c r="B12" i="32"/>
  <c r="C12" i="32"/>
  <c r="D12" i="32"/>
  <c r="E12" i="32"/>
  <c r="F12" i="32"/>
  <c r="B13" i="32"/>
  <c r="C13" i="32"/>
  <c r="D13" i="32"/>
  <c r="E13" i="32"/>
  <c r="F13" i="32"/>
  <c r="B3" i="33"/>
  <c r="C3" i="33"/>
  <c r="D3" i="33"/>
  <c r="E3" i="33"/>
  <c r="F3" i="33"/>
  <c r="B4" i="33"/>
  <c r="C4" i="33"/>
  <c r="D4" i="33"/>
  <c r="E4" i="33"/>
  <c r="F4" i="33"/>
  <c r="B5" i="33"/>
  <c r="C5" i="33"/>
  <c r="D5" i="33"/>
  <c r="E5" i="33"/>
  <c r="F5" i="33"/>
  <c r="B6" i="33"/>
  <c r="C6" i="33"/>
  <c r="D6" i="33"/>
  <c r="E6" i="33"/>
  <c r="F6" i="33"/>
  <c r="B7" i="33"/>
  <c r="C7" i="33"/>
  <c r="D7" i="33"/>
  <c r="E7" i="33"/>
  <c r="F7" i="33"/>
  <c r="B8" i="33"/>
  <c r="C8" i="33"/>
  <c r="D8" i="33"/>
  <c r="E8" i="33"/>
  <c r="F8" i="33"/>
  <c r="B9" i="33"/>
  <c r="C9" i="33"/>
  <c r="D9" i="33"/>
  <c r="E9" i="33"/>
  <c r="F9" i="33"/>
  <c r="B10" i="33"/>
  <c r="C10" i="33"/>
  <c r="D10" i="33"/>
  <c r="E10" i="33"/>
  <c r="F10" i="33"/>
  <c r="B11" i="33"/>
  <c r="C11" i="33"/>
  <c r="D11" i="33"/>
  <c r="E11" i="33"/>
  <c r="F11" i="33"/>
  <c r="B12" i="33"/>
  <c r="C12" i="33"/>
  <c r="D12" i="33"/>
  <c r="E12" i="33"/>
  <c r="F12" i="33"/>
  <c r="B13" i="33"/>
  <c r="C13" i="33"/>
  <c r="D13" i="33"/>
  <c r="E13" i="33"/>
  <c r="F13" i="33"/>
  <c r="B3" i="34"/>
  <c r="C3" i="34"/>
  <c r="D3" i="34"/>
  <c r="E3" i="34"/>
  <c r="F3" i="34"/>
  <c r="B4" i="34"/>
  <c r="C4" i="34"/>
  <c r="D4" i="34"/>
  <c r="E4" i="34"/>
  <c r="F4" i="34"/>
  <c r="B5" i="34"/>
  <c r="C5" i="34"/>
  <c r="D5" i="34"/>
  <c r="E5" i="34"/>
  <c r="F5" i="34"/>
  <c r="B6" i="34"/>
  <c r="C6" i="34"/>
  <c r="D6" i="34"/>
  <c r="E6" i="34"/>
  <c r="F6" i="34"/>
  <c r="B7" i="34"/>
  <c r="C7" i="34"/>
  <c r="D7" i="34"/>
  <c r="E7" i="34"/>
  <c r="F7" i="34"/>
  <c r="B8" i="34"/>
  <c r="C8" i="34"/>
  <c r="D8" i="34"/>
  <c r="E8" i="34"/>
  <c r="F8" i="34"/>
  <c r="B9" i="34"/>
  <c r="C9" i="34"/>
  <c r="D9" i="34"/>
  <c r="E9" i="34"/>
  <c r="F9" i="34"/>
  <c r="B10" i="34"/>
  <c r="C10" i="34"/>
  <c r="D10" i="34"/>
  <c r="E10" i="34"/>
  <c r="F10" i="34"/>
  <c r="B11" i="34"/>
  <c r="C11" i="34"/>
  <c r="D11" i="34"/>
  <c r="E11" i="34"/>
  <c r="F11" i="34"/>
  <c r="B12" i="34"/>
  <c r="C12" i="34"/>
  <c r="D12" i="34"/>
  <c r="E12" i="34"/>
  <c r="F12" i="34"/>
  <c r="B13" i="34"/>
  <c r="C13" i="34"/>
  <c r="D13" i="34"/>
  <c r="E13" i="34"/>
  <c r="F13" i="34"/>
  <c r="B3" i="2"/>
  <c r="C3" i="2"/>
  <c r="D3" i="2"/>
  <c r="E3" i="2"/>
  <c r="F3" i="2"/>
  <c r="B4" i="2"/>
  <c r="C4" i="2"/>
  <c r="D4" i="2"/>
  <c r="E4" i="2"/>
  <c r="F4" i="2"/>
  <c r="B5" i="2"/>
  <c r="C5" i="2"/>
  <c r="D5" i="2"/>
  <c r="E5" i="2"/>
  <c r="F5" i="2"/>
  <c r="B6" i="2"/>
  <c r="C6" i="2"/>
  <c r="D6" i="2"/>
  <c r="E6" i="2"/>
  <c r="F6" i="2"/>
  <c r="B7" i="2"/>
  <c r="C7" i="2"/>
  <c r="D7" i="2"/>
  <c r="E7" i="2"/>
  <c r="F7" i="2"/>
  <c r="B8" i="2"/>
  <c r="C8" i="2"/>
  <c r="D8" i="2"/>
  <c r="E8" i="2"/>
  <c r="F8" i="2"/>
  <c r="B9" i="2"/>
  <c r="C9" i="2"/>
  <c r="D9" i="2"/>
  <c r="E9" i="2"/>
  <c r="F9" i="2"/>
  <c r="B10" i="2"/>
  <c r="C10" i="2"/>
  <c r="D10" i="2"/>
  <c r="E10" i="2"/>
  <c r="F10" i="2"/>
  <c r="B11" i="2"/>
  <c r="C11" i="2"/>
  <c r="D11" i="2"/>
  <c r="E11" i="2"/>
  <c r="F11" i="2"/>
  <c r="B12" i="2"/>
  <c r="C12" i="2"/>
  <c r="D12" i="2"/>
  <c r="E12" i="2"/>
  <c r="F12" i="2"/>
  <c r="B13" i="2"/>
  <c r="C13" i="2"/>
  <c r="D13" i="2"/>
  <c r="E13" i="2"/>
  <c r="F13" i="2"/>
  <c r="F2" i="3" l="1"/>
  <c r="F2" i="4"/>
  <c r="F2" i="5"/>
  <c r="F2" i="6"/>
  <c r="F2" i="7"/>
  <c r="F2" i="8"/>
  <c r="F2" i="9"/>
  <c r="F2" i="10"/>
  <c r="F2" i="11"/>
  <c r="F2" i="12"/>
  <c r="F2" i="13"/>
  <c r="F2" i="14"/>
  <c r="F2" i="15"/>
  <c r="F2" i="16"/>
  <c r="F2" i="17"/>
  <c r="F2" i="18"/>
  <c r="F2" i="19"/>
  <c r="F2" i="20"/>
  <c r="F2" i="21"/>
  <c r="F2" i="22"/>
  <c r="F2" i="23"/>
  <c r="F2" i="24"/>
  <c r="F2" i="25"/>
  <c r="F2" i="26"/>
  <c r="F2" i="27"/>
  <c r="F2" i="28"/>
  <c r="F2" i="29"/>
  <c r="F2" i="30"/>
  <c r="F2" i="31"/>
  <c r="F2" i="32"/>
  <c r="F2" i="33"/>
  <c r="F2" i="34"/>
  <c r="F2" i="2"/>
  <c r="C2" i="3" l="1"/>
  <c r="D2" i="3"/>
  <c r="E2" i="3"/>
  <c r="C2" i="4"/>
  <c r="D2" i="4"/>
  <c r="E2" i="4"/>
  <c r="C2" i="5"/>
  <c r="D2" i="5"/>
  <c r="E2" i="5"/>
  <c r="C2" i="6"/>
  <c r="D2" i="6"/>
  <c r="E2" i="6"/>
  <c r="C2" i="7"/>
  <c r="D2" i="7"/>
  <c r="E2" i="7"/>
  <c r="C2" i="8"/>
  <c r="D2" i="8"/>
  <c r="E2" i="8"/>
  <c r="C2" i="9"/>
  <c r="D2" i="9"/>
  <c r="E2" i="9"/>
  <c r="C2" i="10"/>
  <c r="D2" i="10"/>
  <c r="E2" i="10"/>
  <c r="C2" i="11"/>
  <c r="D2" i="11"/>
  <c r="E2" i="11"/>
  <c r="C2" i="12"/>
  <c r="D2" i="12"/>
  <c r="E2" i="12"/>
  <c r="C2" i="13"/>
  <c r="D2" i="13"/>
  <c r="E2" i="13"/>
  <c r="C2" i="14"/>
  <c r="D2" i="14"/>
  <c r="E2" i="14"/>
  <c r="C2" i="15"/>
  <c r="D2" i="15"/>
  <c r="E2" i="15"/>
  <c r="C2" i="16"/>
  <c r="D2" i="16"/>
  <c r="E2" i="16"/>
  <c r="C2" i="17"/>
  <c r="D2" i="17"/>
  <c r="E2" i="17"/>
  <c r="C2" i="18"/>
  <c r="D2" i="18"/>
  <c r="E2" i="18"/>
  <c r="C2" i="19"/>
  <c r="D2" i="19"/>
  <c r="E2" i="19"/>
  <c r="C2" i="20"/>
  <c r="D2" i="20"/>
  <c r="E2" i="20"/>
  <c r="C2" i="21"/>
  <c r="D2" i="21"/>
  <c r="E2" i="21"/>
  <c r="C2" i="22"/>
  <c r="D2" i="22"/>
  <c r="E2" i="22"/>
  <c r="C2" i="23"/>
  <c r="D2" i="23"/>
  <c r="E2" i="23"/>
  <c r="C2" i="24"/>
  <c r="D2" i="24"/>
  <c r="E2" i="24"/>
  <c r="C2" i="25"/>
  <c r="D2" i="25"/>
  <c r="E2" i="25"/>
  <c r="C2" i="26"/>
  <c r="D2" i="26"/>
  <c r="E2" i="26"/>
  <c r="C2" i="27"/>
  <c r="D2" i="27"/>
  <c r="E2" i="27"/>
  <c r="C2" i="28"/>
  <c r="D2" i="28"/>
  <c r="E2" i="28"/>
  <c r="C2" i="29"/>
  <c r="D2" i="29"/>
  <c r="E2" i="29"/>
  <c r="C2" i="30"/>
  <c r="D2" i="30"/>
  <c r="E2" i="30"/>
  <c r="C2" i="31"/>
  <c r="D2" i="31"/>
  <c r="E2" i="31"/>
  <c r="C2" i="32"/>
  <c r="D2" i="32"/>
  <c r="E2" i="32"/>
  <c r="C2" i="33"/>
  <c r="D2" i="33"/>
  <c r="E2" i="33"/>
  <c r="C2" i="34"/>
  <c r="D2" i="34"/>
  <c r="E2" i="34"/>
  <c r="C2" i="2"/>
  <c r="D2" i="2"/>
  <c r="E2" i="2"/>
  <c r="B2" i="2"/>
  <c r="B2" i="34" l="1"/>
  <c r="B2" i="33"/>
  <c r="B2" i="32"/>
  <c r="B2" i="31"/>
  <c r="B2" i="30"/>
  <c r="B2" i="29"/>
  <c r="B2" i="28"/>
  <c r="B2" i="27"/>
  <c r="B2" i="26"/>
  <c r="B2" i="25"/>
  <c r="B2" i="24"/>
  <c r="B2" i="23"/>
  <c r="B2" i="22"/>
  <c r="B2" i="21"/>
  <c r="B2" i="20"/>
  <c r="B2" i="19"/>
  <c r="B2" i="18"/>
  <c r="B2" i="17"/>
  <c r="B2" i="16"/>
  <c r="B2" i="15"/>
  <c r="B2" i="14"/>
  <c r="B2" i="13"/>
  <c r="B2" i="12"/>
  <c r="B2" i="11"/>
  <c r="B2" i="10"/>
  <c r="B2" i="9"/>
  <c r="B2" i="8"/>
  <c r="B2" i="7"/>
  <c r="B2" i="6"/>
  <c r="B2" i="5"/>
  <c r="B2" i="4"/>
  <c r="B2" i="3"/>
</calcChain>
</file>

<file path=xl/sharedStrings.xml><?xml version="1.0" encoding="utf-8"?>
<sst xmlns="http://schemas.openxmlformats.org/spreadsheetml/2006/main" count="634" uniqueCount="40">
  <si>
    <t>Año</t>
  </si>
  <si>
    <t>Entidad Federativa</t>
  </si>
  <si>
    <t>Nacional</t>
  </si>
  <si>
    <t>Aguascalientes</t>
  </si>
  <si>
    <t>Baja California</t>
  </si>
  <si>
    <t>Baja California Sur</t>
  </si>
  <si>
    <t>Campeche</t>
  </si>
  <si>
    <t>Colima</t>
  </si>
  <si>
    <t>Chiapas</t>
  </si>
  <si>
    <t>Chihuahua</t>
  </si>
  <si>
    <t>Durango</t>
  </si>
  <si>
    <t>Guanajuato</t>
  </si>
  <si>
    <t>Guerrero</t>
  </si>
  <si>
    <t>Hidalgo</t>
  </si>
  <si>
    <t>Jalisco</t>
  </si>
  <si>
    <t>México</t>
  </si>
  <si>
    <t>Morelos</t>
  </si>
  <si>
    <t>Nayarit</t>
  </si>
  <si>
    <t>Nuevo León</t>
  </si>
  <si>
    <t>Oaxaca</t>
  </si>
  <si>
    <t>Puebla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</si>
  <si>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</si>
  <si>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</si>
  <si>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</si>
  <si>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</si>
  <si>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</si>
  <si>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</si>
  <si>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</si>
  <si>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Yucatán</t>
  </si>
  <si>
    <t>Zacatecas</t>
  </si>
  <si>
    <t>CDMX</t>
  </si>
  <si>
    <t>Coahuila</t>
  </si>
  <si>
    <t>Michoacán</t>
  </si>
  <si>
    <t>Querétaro</t>
  </si>
  <si>
    <t>Veracruz</t>
  </si>
  <si>
    <t>Consultorios</t>
  </si>
  <si>
    <t>Camas hospitalarias</t>
  </si>
  <si>
    <t>Camas no hospitalarias</t>
  </si>
  <si>
    <t>Quirófanos</t>
  </si>
  <si>
    <t>Salas expulsión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</si>
</sst>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color theme="0"/>
      <name val="Arial"/>
      <family val="2"/>
    </font>
    <font>
      <sz val="11"/>
      <color theme="1"/>
      <name val="Arial"/>
      <family val="2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D2449"/>
        <bgColor indexed="64"/>
      </patternFill>
    </fill>
    <fill>
      <patternFill patternType="solid">
        <fgColor rgb="FFD4C19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" fontId="1" fillId="2" borderId="1" xfId="0" applyNumberFormat="1" applyFont="1" applyFill="1" applyBorder="1" applyAlignment="1">
      <alignment horizontal="center" vertical="center" wrapText="1"/>
    </xf>
    <xf numFmtId="0" fontId="3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4" fillId="0" borderId="0" xfId="0" applyFont="1"/>
    <xf numFmtId="164" fontId="2" fillId="0" borderId="1" xfId="0" applyNumberFormat="1" applyFont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1" fontId="2" fillId="3" borderId="1" xfId="0" applyNumberFormat="1" applyFont="1" applyFill="1" applyBorder="1" applyAlignment="1">
      <alignment horizontal="center"/>
    </xf>
    <xf numFmtId="3" fontId="2" fillId="3" borderId="1" xfId="0" applyNumberFormat="1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1" fontId="2" fillId="3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0"/>
  <sheetViews>
    <sheetView tabSelected="1" workbookViewId="0">
      <pane ySplit="1" topLeftCell="A2" activePane="bottomLeft" state="frozen"/>
      <selection activeCell="F14" sqref="F14"/>
      <selection pane="bottomLeft" activeCell="A2" sqref="A2"/>
    </sheetView>
  </sheetViews>
  <sheetFormatPr baseColWidth="10" defaultColWidth="11.42578125" defaultRowHeight="14.25" x14ac:dyDescent="0.2"/>
  <cols>
    <col min="1" max="1" width="12.140625" style="3" customWidth="1"/>
    <col min="2" max="2" width="24.42578125" style="3" customWidth="1"/>
    <col min="3" max="3" width="13.28515625" style="5" bestFit="1" customWidth="1"/>
    <col min="4" max="4" width="12.42578125" style="2" bestFit="1" customWidth="1"/>
    <col min="5" max="5" width="19.140625" style="2" customWidth="1"/>
    <col min="6" max="6" width="12.28515625" style="2" bestFit="1" customWidth="1"/>
    <col min="7" max="7" width="12" style="4" bestFit="1" customWidth="1"/>
    <col min="8" max="16384" width="11.42578125" style="4"/>
  </cols>
  <sheetData>
    <row r="1" spans="1:7" ht="42.75" x14ac:dyDescent="0.2">
      <c r="A1" s="1" t="s">
        <v>0</v>
      </c>
      <c r="B1" s="1" t="s">
        <v>1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</row>
    <row r="2" spans="1:7" x14ac:dyDescent="0.2">
      <c r="A2" s="9">
        <v>2024</v>
      </c>
      <c r="B2" s="7" t="s">
        <v>2</v>
      </c>
      <c r="C2" s="10">
        <v>86304</v>
      </c>
      <c r="D2" s="10">
        <v>96988</v>
      </c>
      <c r="E2" s="10">
        <v>53160</v>
      </c>
      <c r="F2" s="10">
        <v>4495</v>
      </c>
      <c r="G2" s="10">
        <v>2025</v>
      </c>
    </row>
    <row r="3" spans="1:7" x14ac:dyDescent="0.2">
      <c r="A3" s="8">
        <v>2024</v>
      </c>
      <c r="B3" s="6" t="s">
        <v>3</v>
      </c>
      <c r="C3" s="11">
        <v>956</v>
      </c>
      <c r="D3" s="11">
        <v>1079</v>
      </c>
      <c r="E3" s="11">
        <v>672</v>
      </c>
      <c r="F3" s="11">
        <v>60</v>
      </c>
      <c r="G3" s="11">
        <v>15</v>
      </c>
    </row>
    <row r="4" spans="1:7" x14ac:dyDescent="0.2">
      <c r="A4" s="8">
        <v>2024</v>
      </c>
      <c r="B4" s="6" t="s">
        <v>4</v>
      </c>
      <c r="C4" s="11">
        <v>1767</v>
      </c>
      <c r="D4" s="11">
        <v>2606</v>
      </c>
      <c r="E4" s="11">
        <v>1222</v>
      </c>
      <c r="F4" s="11">
        <v>109</v>
      </c>
      <c r="G4" s="11">
        <v>37</v>
      </c>
    </row>
    <row r="5" spans="1:7" x14ac:dyDescent="0.2">
      <c r="A5" s="8">
        <v>2024</v>
      </c>
      <c r="B5" s="6" t="s">
        <v>5</v>
      </c>
      <c r="C5" s="11">
        <v>714</v>
      </c>
      <c r="D5" s="11">
        <v>892</v>
      </c>
      <c r="E5" s="11">
        <v>509</v>
      </c>
      <c r="F5" s="11">
        <v>45</v>
      </c>
      <c r="G5" s="11">
        <v>24</v>
      </c>
    </row>
    <row r="6" spans="1:7" x14ac:dyDescent="0.2">
      <c r="A6" s="8">
        <v>2024</v>
      </c>
      <c r="B6" s="6" t="s">
        <v>6</v>
      </c>
      <c r="C6" s="11">
        <v>834</v>
      </c>
      <c r="D6" s="11">
        <v>847</v>
      </c>
      <c r="E6" s="11">
        <v>598</v>
      </c>
      <c r="F6" s="11">
        <v>47</v>
      </c>
      <c r="G6" s="11">
        <v>23</v>
      </c>
    </row>
    <row r="7" spans="1:7" x14ac:dyDescent="0.2">
      <c r="A7" s="8">
        <v>2024</v>
      </c>
      <c r="B7" s="6" t="s">
        <v>31</v>
      </c>
      <c r="C7" s="11">
        <v>2120</v>
      </c>
      <c r="D7" s="11">
        <v>3075</v>
      </c>
      <c r="E7" s="11">
        <v>1252</v>
      </c>
      <c r="F7" s="11">
        <v>154</v>
      </c>
      <c r="G7" s="11">
        <v>55</v>
      </c>
    </row>
    <row r="8" spans="1:7" x14ac:dyDescent="0.2">
      <c r="A8" s="8">
        <v>2024</v>
      </c>
      <c r="B8" s="6" t="s">
        <v>7</v>
      </c>
      <c r="C8" s="11">
        <v>758</v>
      </c>
      <c r="D8" s="11">
        <v>701</v>
      </c>
      <c r="E8" s="11">
        <v>488</v>
      </c>
      <c r="F8" s="11">
        <v>36</v>
      </c>
      <c r="G8" s="11">
        <v>12</v>
      </c>
    </row>
    <row r="9" spans="1:7" x14ac:dyDescent="0.2">
      <c r="A9" s="8">
        <v>2024</v>
      </c>
      <c r="B9" s="6" t="s">
        <v>8</v>
      </c>
      <c r="C9" s="11">
        <v>3953</v>
      </c>
      <c r="D9" s="11">
        <v>2427</v>
      </c>
      <c r="E9" s="11">
        <v>1914</v>
      </c>
      <c r="F9" s="11">
        <v>152</v>
      </c>
      <c r="G9" s="11">
        <v>129</v>
      </c>
    </row>
    <row r="10" spans="1:7" x14ac:dyDescent="0.2">
      <c r="A10" s="8">
        <v>2024</v>
      </c>
      <c r="B10" s="6" t="s">
        <v>9</v>
      </c>
      <c r="C10" s="11">
        <v>2343</v>
      </c>
      <c r="D10" s="11">
        <v>3223</v>
      </c>
      <c r="E10" s="11">
        <v>1612</v>
      </c>
      <c r="F10" s="11">
        <v>144</v>
      </c>
      <c r="G10" s="11">
        <v>70</v>
      </c>
    </row>
    <row r="11" spans="1:7" x14ac:dyDescent="0.2">
      <c r="A11" s="8">
        <v>2024</v>
      </c>
      <c r="B11" s="6" t="s">
        <v>30</v>
      </c>
      <c r="C11" s="11">
        <v>9844</v>
      </c>
      <c r="D11" s="11">
        <v>15698</v>
      </c>
      <c r="E11" s="11">
        <v>6055</v>
      </c>
      <c r="F11" s="11">
        <v>696</v>
      </c>
      <c r="G11" s="11">
        <v>115</v>
      </c>
    </row>
    <row r="12" spans="1:7" x14ac:dyDescent="0.2">
      <c r="A12" s="8">
        <v>2024</v>
      </c>
      <c r="B12" s="6" t="s">
        <v>10</v>
      </c>
      <c r="C12" s="11">
        <v>1478</v>
      </c>
      <c r="D12" s="11">
        <v>1640</v>
      </c>
      <c r="E12" s="11">
        <v>879</v>
      </c>
      <c r="F12" s="11">
        <v>62</v>
      </c>
      <c r="G12" s="11">
        <v>45</v>
      </c>
    </row>
    <row r="13" spans="1:7" x14ac:dyDescent="0.2">
      <c r="A13" s="8">
        <v>2024</v>
      </c>
      <c r="B13" s="6" t="s">
        <v>11</v>
      </c>
      <c r="C13" s="11">
        <v>3096</v>
      </c>
      <c r="D13" s="11">
        <v>3849</v>
      </c>
      <c r="E13" s="11">
        <v>2575</v>
      </c>
      <c r="F13" s="11">
        <v>186</v>
      </c>
      <c r="G13" s="11">
        <v>79</v>
      </c>
    </row>
    <row r="14" spans="1:7" x14ac:dyDescent="0.2">
      <c r="A14" s="8">
        <v>2024</v>
      </c>
      <c r="B14" s="6" t="s">
        <v>12</v>
      </c>
      <c r="C14" s="11">
        <v>3305</v>
      </c>
      <c r="D14" s="11">
        <v>2073</v>
      </c>
      <c r="E14" s="11">
        <v>1824</v>
      </c>
      <c r="F14" s="11">
        <v>124</v>
      </c>
      <c r="G14" s="11">
        <v>99</v>
      </c>
    </row>
    <row r="15" spans="1:7" x14ac:dyDescent="0.2">
      <c r="A15" s="8">
        <v>2024</v>
      </c>
      <c r="B15" s="6" t="s">
        <v>13</v>
      </c>
      <c r="C15" s="11">
        <v>2431</v>
      </c>
      <c r="D15" s="11">
        <v>1628</v>
      </c>
      <c r="E15" s="11">
        <v>1453</v>
      </c>
      <c r="F15" s="11">
        <v>81</v>
      </c>
      <c r="G15" s="11">
        <v>63</v>
      </c>
    </row>
    <row r="16" spans="1:7" x14ac:dyDescent="0.2">
      <c r="A16" s="8">
        <v>2024</v>
      </c>
      <c r="B16" s="6" t="s">
        <v>14</v>
      </c>
      <c r="C16" s="11">
        <v>4488</v>
      </c>
      <c r="D16" s="11">
        <v>7197</v>
      </c>
      <c r="E16" s="11">
        <v>4037</v>
      </c>
      <c r="F16" s="11">
        <v>303</v>
      </c>
      <c r="G16" s="11">
        <v>138</v>
      </c>
    </row>
    <row r="17" spans="1:7" x14ac:dyDescent="0.2">
      <c r="A17" s="8">
        <v>2024</v>
      </c>
      <c r="B17" s="6" t="s">
        <v>15</v>
      </c>
      <c r="C17" s="11">
        <v>8342</v>
      </c>
      <c r="D17" s="11">
        <v>9452</v>
      </c>
      <c r="E17" s="11">
        <v>4681</v>
      </c>
      <c r="F17" s="11">
        <v>380</v>
      </c>
      <c r="G17" s="11">
        <v>225</v>
      </c>
    </row>
    <row r="18" spans="1:7" x14ac:dyDescent="0.2">
      <c r="A18" s="8">
        <v>2024</v>
      </c>
      <c r="B18" s="6" t="s">
        <v>32</v>
      </c>
      <c r="C18" s="11">
        <v>3051</v>
      </c>
      <c r="D18" s="11">
        <v>2839</v>
      </c>
      <c r="E18" s="11">
        <v>1365</v>
      </c>
      <c r="F18" s="11">
        <v>131</v>
      </c>
      <c r="G18" s="11">
        <v>75</v>
      </c>
    </row>
    <row r="19" spans="1:7" x14ac:dyDescent="0.2">
      <c r="A19" s="8">
        <v>2024</v>
      </c>
      <c r="B19" s="6" t="s">
        <v>16</v>
      </c>
      <c r="C19" s="11">
        <v>1605</v>
      </c>
      <c r="D19" s="11">
        <v>1221</v>
      </c>
      <c r="E19" s="11">
        <v>825</v>
      </c>
      <c r="F19" s="11">
        <v>57</v>
      </c>
      <c r="G19" s="11">
        <v>32</v>
      </c>
    </row>
    <row r="20" spans="1:7" x14ac:dyDescent="0.2">
      <c r="A20" s="8">
        <v>2024</v>
      </c>
      <c r="B20" s="6" t="s">
        <v>17</v>
      </c>
      <c r="C20" s="11">
        <v>1296</v>
      </c>
      <c r="D20" s="11">
        <v>1052</v>
      </c>
      <c r="E20" s="11">
        <v>851</v>
      </c>
      <c r="F20" s="11">
        <v>62</v>
      </c>
      <c r="G20" s="11">
        <v>35</v>
      </c>
    </row>
    <row r="21" spans="1:7" x14ac:dyDescent="0.2">
      <c r="A21" s="8">
        <v>2024</v>
      </c>
      <c r="B21" s="6" t="s">
        <v>18</v>
      </c>
      <c r="C21" s="11">
        <v>3480</v>
      </c>
      <c r="D21" s="11">
        <v>4375</v>
      </c>
      <c r="E21" s="11">
        <v>1947</v>
      </c>
      <c r="F21" s="11">
        <v>191</v>
      </c>
      <c r="G21" s="11">
        <v>39</v>
      </c>
    </row>
    <row r="22" spans="1:7" x14ac:dyDescent="0.2">
      <c r="A22" s="8">
        <v>2024</v>
      </c>
      <c r="B22" s="6" t="s">
        <v>19</v>
      </c>
      <c r="C22" s="11">
        <v>3111</v>
      </c>
      <c r="D22" s="11">
        <v>2211</v>
      </c>
      <c r="E22" s="11">
        <v>1512</v>
      </c>
      <c r="F22" s="11">
        <v>109</v>
      </c>
      <c r="G22" s="11">
        <v>82</v>
      </c>
    </row>
    <row r="23" spans="1:7" x14ac:dyDescent="0.2">
      <c r="A23" s="8">
        <v>2024</v>
      </c>
      <c r="B23" s="6" t="s">
        <v>20</v>
      </c>
      <c r="C23" s="11">
        <v>4334</v>
      </c>
      <c r="D23" s="11">
        <v>4016</v>
      </c>
      <c r="E23" s="11">
        <v>3178</v>
      </c>
      <c r="F23" s="11">
        <v>201</v>
      </c>
      <c r="G23" s="11">
        <v>129</v>
      </c>
    </row>
    <row r="24" spans="1:7" x14ac:dyDescent="0.2">
      <c r="A24" s="8">
        <v>2024</v>
      </c>
      <c r="B24" s="6" t="s">
        <v>33</v>
      </c>
      <c r="C24" s="11">
        <v>1345</v>
      </c>
      <c r="D24" s="11">
        <v>1336</v>
      </c>
      <c r="E24" s="11">
        <v>826</v>
      </c>
      <c r="F24" s="11">
        <v>63</v>
      </c>
      <c r="G24" s="11">
        <v>16</v>
      </c>
    </row>
    <row r="25" spans="1:7" x14ac:dyDescent="0.2">
      <c r="A25" s="8">
        <v>2024</v>
      </c>
      <c r="B25" s="6" t="s">
        <v>21</v>
      </c>
      <c r="C25" s="11">
        <v>923</v>
      </c>
      <c r="D25" s="11">
        <v>1210</v>
      </c>
      <c r="E25" s="11">
        <v>676</v>
      </c>
      <c r="F25" s="11">
        <v>50</v>
      </c>
      <c r="G25" s="11">
        <v>26</v>
      </c>
    </row>
    <row r="26" spans="1:7" x14ac:dyDescent="0.2">
      <c r="A26" s="8">
        <v>2024</v>
      </c>
      <c r="B26" s="6" t="s">
        <v>22</v>
      </c>
      <c r="C26" s="11">
        <v>1999</v>
      </c>
      <c r="D26" s="11">
        <v>2258</v>
      </c>
      <c r="E26" s="11">
        <v>1305</v>
      </c>
      <c r="F26" s="11">
        <v>115</v>
      </c>
      <c r="G26" s="11">
        <v>44</v>
      </c>
    </row>
    <row r="27" spans="1:7" x14ac:dyDescent="0.2">
      <c r="A27" s="8">
        <v>2024</v>
      </c>
      <c r="B27" s="6" t="s">
        <v>23</v>
      </c>
      <c r="C27" s="11">
        <v>2372</v>
      </c>
      <c r="D27" s="11">
        <v>2566</v>
      </c>
      <c r="E27" s="11">
        <v>1324</v>
      </c>
      <c r="F27" s="11">
        <v>117</v>
      </c>
      <c r="G27" s="11">
        <v>56</v>
      </c>
    </row>
    <row r="28" spans="1:7" x14ac:dyDescent="0.2">
      <c r="A28" s="8">
        <v>2024</v>
      </c>
      <c r="B28" s="6" t="s">
        <v>24</v>
      </c>
      <c r="C28" s="11">
        <v>2204</v>
      </c>
      <c r="D28" s="11">
        <v>3093</v>
      </c>
      <c r="E28" s="11">
        <v>1553</v>
      </c>
      <c r="F28" s="11">
        <v>146</v>
      </c>
      <c r="G28" s="11">
        <v>50</v>
      </c>
    </row>
    <row r="29" spans="1:7" x14ac:dyDescent="0.2">
      <c r="A29" s="8">
        <v>2024</v>
      </c>
      <c r="B29" s="6" t="s">
        <v>25</v>
      </c>
      <c r="C29" s="11">
        <v>2560</v>
      </c>
      <c r="D29" s="11">
        <v>1818</v>
      </c>
      <c r="E29" s="11">
        <v>1080</v>
      </c>
      <c r="F29" s="11">
        <v>92</v>
      </c>
      <c r="G29" s="11">
        <v>39</v>
      </c>
    </row>
    <row r="30" spans="1:7" x14ac:dyDescent="0.2">
      <c r="A30" s="8">
        <v>2024</v>
      </c>
      <c r="B30" s="6" t="s">
        <v>26</v>
      </c>
      <c r="C30" s="11">
        <v>2266</v>
      </c>
      <c r="D30" s="11">
        <v>3400</v>
      </c>
      <c r="E30" s="11">
        <v>1667</v>
      </c>
      <c r="F30" s="11">
        <v>150</v>
      </c>
      <c r="G30" s="11">
        <v>61</v>
      </c>
    </row>
    <row r="31" spans="1:7" x14ac:dyDescent="0.2">
      <c r="A31" s="8">
        <v>2024</v>
      </c>
      <c r="B31" s="6" t="s">
        <v>27</v>
      </c>
      <c r="C31" s="11">
        <v>907</v>
      </c>
      <c r="D31" s="11">
        <v>738</v>
      </c>
      <c r="E31" s="11">
        <v>798</v>
      </c>
      <c r="F31" s="11">
        <v>40</v>
      </c>
      <c r="G31" s="11">
        <v>19</v>
      </c>
    </row>
    <row r="32" spans="1:7" x14ac:dyDescent="0.2">
      <c r="A32" s="8">
        <v>2024</v>
      </c>
      <c r="B32" s="6" t="s">
        <v>34</v>
      </c>
      <c r="C32" s="11">
        <v>5456</v>
      </c>
      <c r="D32" s="11">
        <v>5391</v>
      </c>
      <c r="E32" s="11">
        <v>2722</v>
      </c>
      <c r="F32" s="11">
        <v>262</v>
      </c>
      <c r="G32" s="11">
        <v>136</v>
      </c>
    </row>
    <row r="33" spans="1:7" x14ac:dyDescent="0.2">
      <c r="A33" s="8">
        <v>2024</v>
      </c>
      <c r="B33" s="6" t="s">
        <v>28</v>
      </c>
      <c r="C33" s="11">
        <v>1544</v>
      </c>
      <c r="D33" s="11">
        <v>2007</v>
      </c>
      <c r="E33" s="11">
        <v>975</v>
      </c>
      <c r="F33" s="11">
        <v>77</v>
      </c>
      <c r="G33" s="11">
        <v>27</v>
      </c>
    </row>
    <row r="34" spans="1:7" x14ac:dyDescent="0.2">
      <c r="A34" s="8">
        <v>2024</v>
      </c>
      <c r="B34" s="6" t="s">
        <v>29</v>
      </c>
      <c r="C34" s="11">
        <v>1422</v>
      </c>
      <c r="D34" s="11">
        <v>1070</v>
      </c>
      <c r="E34" s="11">
        <v>785</v>
      </c>
      <c r="F34" s="11">
        <v>53</v>
      </c>
      <c r="G34" s="11">
        <v>30</v>
      </c>
    </row>
    <row r="35" spans="1:7" x14ac:dyDescent="0.2">
      <c r="A35" s="9">
        <v>2023</v>
      </c>
      <c r="B35" s="7" t="s">
        <v>2</v>
      </c>
      <c r="C35" s="10">
        <v>84929</v>
      </c>
      <c r="D35" s="10">
        <v>95061</v>
      </c>
      <c r="E35" s="10">
        <v>50438</v>
      </c>
      <c r="F35" s="10">
        <v>4385</v>
      </c>
      <c r="G35" s="10">
        <v>1984</v>
      </c>
    </row>
    <row r="36" spans="1:7" x14ac:dyDescent="0.2">
      <c r="A36" s="8">
        <v>2023</v>
      </c>
      <c r="B36" s="6" t="s">
        <v>3</v>
      </c>
      <c r="C36" s="11">
        <v>948</v>
      </c>
      <c r="D36" s="11">
        <v>1066</v>
      </c>
      <c r="E36" s="11">
        <v>644</v>
      </c>
      <c r="F36" s="11">
        <v>61</v>
      </c>
      <c r="G36" s="11">
        <v>15</v>
      </c>
    </row>
    <row r="37" spans="1:7" x14ac:dyDescent="0.2">
      <c r="A37" s="8">
        <v>2023</v>
      </c>
      <c r="B37" s="6" t="s">
        <v>4</v>
      </c>
      <c r="C37" s="11">
        <v>1687</v>
      </c>
      <c r="D37" s="11">
        <v>2378</v>
      </c>
      <c r="E37" s="11">
        <v>1118</v>
      </c>
      <c r="F37" s="11">
        <v>99</v>
      </c>
      <c r="G37" s="11">
        <v>38</v>
      </c>
    </row>
    <row r="38" spans="1:7" x14ac:dyDescent="0.2">
      <c r="A38" s="8">
        <v>2023</v>
      </c>
      <c r="B38" s="6" t="s">
        <v>5</v>
      </c>
      <c r="C38" s="11">
        <v>714</v>
      </c>
      <c r="D38" s="11">
        <v>859</v>
      </c>
      <c r="E38" s="11">
        <v>483</v>
      </c>
      <c r="F38" s="11">
        <v>43</v>
      </c>
      <c r="G38" s="11">
        <v>29</v>
      </c>
    </row>
    <row r="39" spans="1:7" x14ac:dyDescent="0.2">
      <c r="A39" s="8">
        <v>2023</v>
      </c>
      <c r="B39" s="6" t="s">
        <v>6</v>
      </c>
      <c r="C39" s="11">
        <v>799</v>
      </c>
      <c r="D39" s="11">
        <v>847</v>
      </c>
      <c r="E39" s="11">
        <v>583</v>
      </c>
      <c r="F39" s="11">
        <v>45</v>
      </c>
      <c r="G39" s="11">
        <v>23</v>
      </c>
    </row>
    <row r="40" spans="1:7" x14ac:dyDescent="0.2">
      <c r="A40" s="8">
        <v>2023</v>
      </c>
      <c r="B40" s="6" t="s">
        <v>31</v>
      </c>
      <c r="C40" s="11">
        <v>2119</v>
      </c>
      <c r="D40" s="11">
        <v>3103</v>
      </c>
      <c r="E40" s="11">
        <v>1172</v>
      </c>
      <c r="F40" s="11">
        <v>155</v>
      </c>
      <c r="G40" s="11">
        <v>53</v>
      </c>
    </row>
    <row r="41" spans="1:7" x14ac:dyDescent="0.2">
      <c r="A41" s="8">
        <v>2023</v>
      </c>
      <c r="B41" s="6" t="s">
        <v>7</v>
      </c>
      <c r="C41" s="11">
        <v>807</v>
      </c>
      <c r="D41" s="11">
        <v>717</v>
      </c>
      <c r="E41" s="11">
        <v>539</v>
      </c>
      <c r="F41" s="11">
        <v>30</v>
      </c>
      <c r="G41" s="11">
        <v>11</v>
      </c>
    </row>
    <row r="42" spans="1:7" x14ac:dyDescent="0.2">
      <c r="A42" s="8">
        <v>2023</v>
      </c>
      <c r="B42" s="6" t="s">
        <v>8</v>
      </c>
      <c r="C42" s="11">
        <v>3851</v>
      </c>
      <c r="D42" s="11">
        <v>2503</v>
      </c>
      <c r="E42" s="11">
        <v>1735</v>
      </c>
      <c r="F42" s="11">
        <v>144</v>
      </c>
      <c r="G42" s="11">
        <v>119</v>
      </c>
    </row>
    <row r="43" spans="1:7" x14ac:dyDescent="0.2">
      <c r="A43" s="8">
        <v>2023</v>
      </c>
      <c r="B43" s="6" t="s">
        <v>9</v>
      </c>
      <c r="C43" s="11">
        <v>2302</v>
      </c>
      <c r="D43" s="11">
        <v>3007</v>
      </c>
      <c r="E43" s="11">
        <v>1587</v>
      </c>
      <c r="F43" s="11">
        <v>124</v>
      </c>
      <c r="G43" s="11">
        <v>74</v>
      </c>
    </row>
    <row r="44" spans="1:7" x14ac:dyDescent="0.2">
      <c r="A44" s="8">
        <v>2023</v>
      </c>
      <c r="B44" s="6" t="s">
        <v>30</v>
      </c>
      <c r="C44" s="11">
        <v>9971</v>
      </c>
      <c r="D44" s="11">
        <v>15490</v>
      </c>
      <c r="E44" s="11">
        <v>5750</v>
      </c>
      <c r="F44" s="11">
        <v>707</v>
      </c>
      <c r="G44" s="11">
        <v>95</v>
      </c>
    </row>
    <row r="45" spans="1:7" x14ac:dyDescent="0.2">
      <c r="A45" s="8">
        <v>2023</v>
      </c>
      <c r="B45" s="6" t="s">
        <v>10</v>
      </c>
      <c r="C45" s="11">
        <v>1431</v>
      </c>
      <c r="D45" s="11">
        <v>1619</v>
      </c>
      <c r="E45" s="11">
        <v>834</v>
      </c>
      <c r="F45" s="11">
        <v>68</v>
      </c>
      <c r="G45" s="11">
        <v>47</v>
      </c>
    </row>
    <row r="46" spans="1:7" x14ac:dyDescent="0.2">
      <c r="A46" s="8">
        <v>2023</v>
      </c>
      <c r="B46" s="6" t="s">
        <v>11</v>
      </c>
      <c r="C46" s="11">
        <v>3132</v>
      </c>
      <c r="D46" s="11">
        <v>3772</v>
      </c>
      <c r="E46" s="11">
        <v>2567</v>
      </c>
      <c r="F46" s="11">
        <v>189</v>
      </c>
      <c r="G46" s="11">
        <v>80</v>
      </c>
    </row>
    <row r="47" spans="1:7" x14ac:dyDescent="0.2">
      <c r="A47" s="8">
        <v>2023</v>
      </c>
      <c r="B47" s="6" t="s">
        <v>12</v>
      </c>
      <c r="C47" s="11">
        <v>2796</v>
      </c>
      <c r="D47" s="11">
        <v>2081</v>
      </c>
      <c r="E47" s="11">
        <v>1168</v>
      </c>
      <c r="F47" s="11">
        <v>108</v>
      </c>
      <c r="G47" s="11">
        <v>74</v>
      </c>
    </row>
    <row r="48" spans="1:7" x14ac:dyDescent="0.2">
      <c r="A48" s="8">
        <v>2023</v>
      </c>
      <c r="B48" s="6" t="s">
        <v>13</v>
      </c>
      <c r="C48" s="11">
        <v>2234</v>
      </c>
      <c r="D48" s="11">
        <v>1671</v>
      </c>
      <c r="E48" s="11">
        <v>1437</v>
      </c>
      <c r="F48" s="11">
        <v>70</v>
      </c>
      <c r="G48" s="11">
        <v>92</v>
      </c>
    </row>
    <row r="49" spans="1:7" x14ac:dyDescent="0.2">
      <c r="A49" s="8">
        <v>2023</v>
      </c>
      <c r="B49" s="6" t="s">
        <v>14</v>
      </c>
      <c r="C49" s="11">
        <v>4399</v>
      </c>
      <c r="D49" s="11">
        <v>6887</v>
      </c>
      <c r="E49" s="11">
        <v>3751</v>
      </c>
      <c r="F49" s="11">
        <v>281</v>
      </c>
      <c r="G49" s="11">
        <v>133</v>
      </c>
    </row>
    <row r="50" spans="1:7" x14ac:dyDescent="0.2">
      <c r="A50" s="8">
        <v>2023</v>
      </c>
      <c r="B50" s="6" t="s">
        <v>15</v>
      </c>
      <c r="C50" s="11">
        <v>7923</v>
      </c>
      <c r="D50" s="11">
        <v>9035</v>
      </c>
      <c r="E50" s="11">
        <v>4628</v>
      </c>
      <c r="F50" s="11">
        <v>367</v>
      </c>
      <c r="G50" s="11">
        <v>224</v>
      </c>
    </row>
    <row r="51" spans="1:7" x14ac:dyDescent="0.2">
      <c r="A51" s="8">
        <v>2023</v>
      </c>
      <c r="B51" s="6" t="s">
        <v>32</v>
      </c>
      <c r="C51" s="11">
        <v>3095</v>
      </c>
      <c r="D51" s="11">
        <v>2773</v>
      </c>
      <c r="E51" s="11">
        <v>1368</v>
      </c>
      <c r="F51" s="11">
        <v>134</v>
      </c>
      <c r="G51" s="11">
        <v>75</v>
      </c>
    </row>
    <row r="52" spans="1:7" x14ac:dyDescent="0.2">
      <c r="A52" s="8">
        <v>2023</v>
      </c>
      <c r="B52" s="6" t="s">
        <v>16</v>
      </c>
      <c r="C52" s="11">
        <v>1580</v>
      </c>
      <c r="D52" s="11">
        <v>1196</v>
      </c>
      <c r="E52" s="11">
        <v>783</v>
      </c>
      <c r="F52" s="11">
        <v>61</v>
      </c>
      <c r="G52" s="11">
        <v>32</v>
      </c>
    </row>
    <row r="53" spans="1:7" x14ac:dyDescent="0.2">
      <c r="A53" s="8">
        <v>2023</v>
      </c>
      <c r="B53" s="6" t="s">
        <v>17</v>
      </c>
      <c r="C53" s="11">
        <v>1219</v>
      </c>
      <c r="D53" s="11">
        <v>992</v>
      </c>
      <c r="E53" s="11">
        <v>789</v>
      </c>
      <c r="F53" s="11">
        <v>55</v>
      </c>
      <c r="G53" s="11">
        <v>26</v>
      </c>
    </row>
    <row r="54" spans="1:7" x14ac:dyDescent="0.2">
      <c r="A54" s="8">
        <v>2023</v>
      </c>
      <c r="B54" s="6" t="s">
        <v>18</v>
      </c>
      <c r="C54" s="11">
        <v>3431</v>
      </c>
      <c r="D54" s="11">
        <v>4326</v>
      </c>
      <c r="E54" s="11">
        <v>1811</v>
      </c>
      <c r="F54" s="11">
        <v>188</v>
      </c>
      <c r="G54" s="11">
        <v>39</v>
      </c>
    </row>
    <row r="55" spans="1:7" x14ac:dyDescent="0.2">
      <c r="A55" s="8">
        <v>2023</v>
      </c>
      <c r="B55" s="6" t="s">
        <v>19</v>
      </c>
      <c r="C55" s="11">
        <v>3204</v>
      </c>
      <c r="D55" s="11">
        <v>2255</v>
      </c>
      <c r="E55" s="11">
        <v>1486</v>
      </c>
      <c r="F55" s="11">
        <v>109</v>
      </c>
      <c r="G55" s="11">
        <v>81</v>
      </c>
    </row>
    <row r="56" spans="1:7" x14ac:dyDescent="0.2">
      <c r="A56" s="8">
        <v>2023</v>
      </c>
      <c r="B56" s="6" t="s">
        <v>20</v>
      </c>
      <c r="C56" s="11">
        <v>4258</v>
      </c>
      <c r="D56" s="11">
        <v>3966</v>
      </c>
      <c r="E56" s="11">
        <v>2980</v>
      </c>
      <c r="F56" s="11">
        <v>181</v>
      </c>
      <c r="G56" s="11">
        <v>125</v>
      </c>
    </row>
    <row r="57" spans="1:7" x14ac:dyDescent="0.2">
      <c r="A57" s="8">
        <v>2023</v>
      </c>
      <c r="B57" s="6" t="s">
        <v>33</v>
      </c>
      <c r="C57" s="11">
        <v>1253</v>
      </c>
      <c r="D57" s="11">
        <v>1329</v>
      </c>
      <c r="E57" s="11">
        <v>815</v>
      </c>
      <c r="F57" s="11">
        <v>66</v>
      </c>
      <c r="G57" s="11">
        <v>16</v>
      </c>
    </row>
    <row r="58" spans="1:7" x14ac:dyDescent="0.2">
      <c r="A58" s="8">
        <v>2023</v>
      </c>
      <c r="B58" s="6" t="s">
        <v>21</v>
      </c>
      <c r="C58" s="11">
        <v>1117</v>
      </c>
      <c r="D58" s="11">
        <v>1212</v>
      </c>
      <c r="E58" s="11">
        <v>570</v>
      </c>
      <c r="F58" s="11">
        <v>46</v>
      </c>
      <c r="G58" s="11">
        <v>26</v>
      </c>
    </row>
    <row r="59" spans="1:7" x14ac:dyDescent="0.2">
      <c r="A59" s="8">
        <v>2023</v>
      </c>
      <c r="B59" s="6" t="s">
        <v>22</v>
      </c>
      <c r="C59" s="11">
        <v>1971</v>
      </c>
      <c r="D59" s="11">
        <v>2240</v>
      </c>
      <c r="E59" s="11">
        <v>1295</v>
      </c>
      <c r="F59" s="11">
        <v>114</v>
      </c>
      <c r="G59" s="11">
        <v>42</v>
      </c>
    </row>
    <row r="60" spans="1:7" x14ac:dyDescent="0.2">
      <c r="A60" s="8">
        <v>2023</v>
      </c>
      <c r="B60" s="6" t="s">
        <v>23</v>
      </c>
      <c r="C60" s="11">
        <v>2323</v>
      </c>
      <c r="D60" s="11">
        <v>2573</v>
      </c>
      <c r="E60" s="11">
        <v>1245</v>
      </c>
      <c r="F60" s="11">
        <v>111</v>
      </c>
      <c r="G60" s="11">
        <v>55</v>
      </c>
    </row>
    <row r="61" spans="1:7" x14ac:dyDescent="0.2">
      <c r="A61" s="8">
        <v>2023</v>
      </c>
      <c r="B61" s="6" t="s">
        <v>24</v>
      </c>
      <c r="C61" s="11">
        <v>2294</v>
      </c>
      <c r="D61" s="11">
        <v>3283</v>
      </c>
      <c r="E61" s="11">
        <v>1573</v>
      </c>
      <c r="F61" s="11">
        <v>152</v>
      </c>
      <c r="G61" s="11">
        <v>48</v>
      </c>
    </row>
    <row r="62" spans="1:7" x14ac:dyDescent="0.2">
      <c r="A62" s="8">
        <v>2023</v>
      </c>
      <c r="B62" s="6" t="s">
        <v>25</v>
      </c>
      <c r="C62" s="11">
        <v>2471</v>
      </c>
      <c r="D62" s="11">
        <v>1725</v>
      </c>
      <c r="E62" s="11">
        <v>1043</v>
      </c>
      <c r="F62" s="11">
        <v>90</v>
      </c>
      <c r="G62" s="11">
        <v>39</v>
      </c>
    </row>
    <row r="63" spans="1:7" x14ac:dyDescent="0.2">
      <c r="A63" s="8">
        <v>2023</v>
      </c>
      <c r="B63" s="6" t="s">
        <v>26</v>
      </c>
      <c r="C63" s="11">
        <v>2309</v>
      </c>
      <c r="D63" s="11">
        <v>3151</v>
      </c>
      <c r="E63" s="11">
        <v>1600</v>
      </c>
      <c r="F63" s="11">
        <v>147</v>
      </c>
      <c r="G63" s="11">
        <v>62</v>
      </c>
    </row>
    <row r="64" spans="1:7" x14ac:dyDescent="0.2">
      <c r="A64" s="8">
        <v>2023</v>
      </c>
      <c r="B64" s="6" t="s">
        <v>27</v>
      </c>
      <c r="C64" s="11">
        <v>941</v>
      </c>
      <c r="D64" s="11">
        <v>734</v>
      </c>
      <c r="E64" s="11">
        <v>800</v>
      </c>
      <c r="F64" s="11">
        <v>40</v>
      </c>
      <c r="G64" s="11">
        <v>19</v>
      </c>
    </row>
    <row r="65" spans="1:7" x14ac:dyDescent="0.2">
      <c r="A65" s="8">
        <v>2023</v>
      </c>
      <c r="B65" s="6" t="s">
        <v>34</v>
      </c>
      <c r="C65" s="11">
        <v>5450</v>
      </c>
      <c r="D65" s="11">
        <v>5237</v>
      </c>
      <c r="E65" s="11">
        <v>2600</v>
      </c>
      <c r="F65" s="11">
        <v>272</v>
      </c>
      <c r="G65" s="11">
        <v>133</v>
      </c>
    </row>
    <row r="66" spans="1:7" x14ac:dyDescent="0.2">
      <c r="A66" s="8">
        <v>2023</v>
      </c>
      <c r="B66" s="6" t="s">
        <v>28</v>
      </c>
      <c r="C66" s="11">
        <v>1464</v>
      </c>
      <c r="D66" s="11">
        <v>1921</v>
      </c>
      <c r="E66" s="11">
        <v>915</v>
      </c>
      <c r="F66" s="11">
        <v>73</v>
      </c>
      <c r="G66" s="11">
        <v>28</v>
      </c>
    </row>
    <row r="67" spans="1:7" x14ac:dyDescent="0.2">
      <c r="A67" s="8">
        <v>2023</v>
      </c>
      <c r="B67" s="6" t="s">
        <v>29</v>
      </c>
      <c r="C67" s="11">
        <v>1436</v>
      </c>
      <c r="D67" s="11">
        <v>1113</v>
      </c>
      <c r="E67" s="11">
        <v>769</v>
      </c>
      <c r="F67" s="11">
        <v>55</v>
      </c>
      <c r="G67" s="11">
        <v>31</v>
      </c>
    </row>
    <row r="68" spans="1:7" x14ac:dyDescent="0.2">
      <c r="A68" s="9">
        <v>2022</v>
      </c>
      <c r="B68" s="7" t="s">
        <v>2</v>
      </c>
      <c r="C68" s="10">
        <v>83750</v>
      </c>
      <c r="D68" s="10">
        <v>95780</v>
      </c>
      <c r="E68" s="10">
        <v>48900</v>
      </c>
      <c r="F68" s="10">
        <v>4410</v>
      </c>
      <c r="G68" s="10">
        <v>1970</v>
      </c>
    </row>
    <row r="69" spans="1:7" x14ac:dyDescent="0.2">
      <c r="A69" s="8">
        <v>2022</v>
      </c>
      <c r="B69" s="6" t="s">
        <v>3</v>
      </c>
      <c r="C69" s="11">
        <v>961</v>
      </c>
      <c r="D69" s="11">
        <v>1044</v>
      </c>
      <c r="E69" s="11">
        <v>632</v>
      </c>
      <c r="F69" s="11">
        <v>55</v>
      </c>
      <c r="G69" s="11">
        <v>15</v>
      </c>
    </row>
    <row r="70" spans="1:7" x14ac:dyDescent="0.2">
      <c r="A70" s="8">
        <v>2022</v>
      </c>
      <c r="B70" s="6" t="s">
        <v>4</v>
      </c>
      <c r="C70" s="11">
        <v>1708</v>
      </c>
      <c r="D70" s="11">
        <v>2349</v>
      </c>
      <c r="E70" s="11">
        <v>1097</v>
      </c>
      <c r="F70" s="11">
        <v>105</v>
      </c>
      <c r="G70" s="11">
        <v>37</v>
      </c>
    </row>
    <row r="71" spans="1:7" x14ac:dyDescent="0.2">
      <c r="A71" s="8">
        <v>2022</v>
      </c>
      <c r="B71" s="6" t="s">
        <v>5</v>
      </c>
      <c r="C71" s="11">
        <v>647</v>
      </c>
      <c r="D71" s="11">
        <v>813</v>
      </c>
      <c r="E71" s="11">
        <v>439</v>
      </c>
      <c r="F71" s="11">
        <v>38</v>
      </c>
      <c r="G71" s="11">
        <v>27</v>
      </c>
    </row>
    <row r="72" spans="1:7" x14ac:dyDescent="0.2">
      <c r="A72" s="8">
        <v>2022</v>
      </c>
      <c r="B72" s="6" t="s">
        <v>6</v>
      </c>
      <c r="C72" s="11">
        <v>815</v>
      </c>
      <c r="D72" s="11">
        <v>927</v>
      </c>
      <c r="E72" s="11">
        <v>555</v>
      </c>
      <c r="F72" s="11">
        <v>44</v>
      </c>
      <c r="G72" s="11">
        <v>22</v>
      </c>
    </row>
    <row r="73" spans="1:7" x14ac:dyDescent="0.2">
      <c r="A73" s="8">
        <v>2022</v>
      </c>
      <c r="B73" s="6" t="s">
        <v>31</v>
      </c>
      <c r="C73" s="11">
        <v>2130</v>
      </c>
      <c r="D73" s="11">
        <v>3074</v>
      </c>
      <c r="E73" s="11">
        <v>1124</v>
      </c>
      <c r="F73" s="11">
        <v>152</v>
      </c>
      <c r="G73" s="11">
        <v>53</v>
      </c>
    </row>
    <row r="74" spans="1:7" x14ac:dyDescent="0.2">
      <c r="A74" s="8">
        <v>2022</v>
      </c>
      <c r="B74" s="6" t="s">
        <v>7</v>
      </c>
      <c r="C74" s="11">
        <v>798</v>
      </c>
      <c r="D74" s="11">
        <v>698</v>
      </c>
      <c r="E74" s="11">
        <v>522</v>
      </c>
      <c r="F74" s="11">
        <v>31</v>
      </c>
      <c r="G74" s="11">
        <v>11</v>
      </c>
    </row>
    <row r="75" spans="1:7" x14ac:dyDescent="0.2">
      <c r="A75" s="8">
        <v>2022</v>
      </c>
      <c r="B75" s="6" t="s">
        <v>8</v>
      </c>
      <c r="C75" s="11">
        <v>3928</v>
      </c>
      <c r="D75" s="11">
        <v>2699</v>
      </c>
      <c r="E75" s="11">
        <v>1773</v>
      </c>
      <c r="F75" s="11">
        <v>151</v>
      </c>
      <c r="G75" s="11">
        <v>114</v>
      </c>
    </row>
    <row r="76" spans="1:7" x14ac:dyDescent="0.2">
      <c r="A76" s="8">
        <v>2022</v>
      </c>
      <c r="B76" s="6" t="s">
        <v>9</v>
      </c>
      <c r="C76" s="11">
        <v>2269</v>
      </c>
      <c r="D76" s="11">
        <v>3131</v>
      </c>
      <c r="E76" s="11">
        <v>1569</v>
      </c>
      <c r="F76" s="11">
        <v>125</v>
      </c>
      <c r="G76" s="11">
        <v>94</v>
      </c>
    </row>
    <row r="77" spans="1:7" x14ac:dyDescent="0.2">
      <c r="A77" s="8">
        <v>2022</v>
      </c>
      <c r="B77" s="6" t="s">
        <v>30</v>
      </c>
      <c r="C77" s="11">
        <v>9591</v>
      </c>
      <c r="D77" s="11">
        <v>16103</v>
      </c>
      <c r="E77" s="11">
        <v>5780</v>
      </c>
      <c r="F77" s="11">
        <v>708</v>
      </c>
      <c r="G77" s="11">
        <v>98</v>
      </c>
    </row>
    <row r="78" spans="1:7" x14ac:dyDescent="0.2">
      <c r="A78" s="8">
        <v>2022</v>
      </c>
      <c r="B78" s="6" t="s">
        <v>10</v>
      </c>
      <c r="C78" s="11">
        <v>1389</v>
      </c>
      <c r="D78" s="11">
        <v>1563</v>
      </c>
      <c r="E78" s="11">
        <v>777</v>
      </c>
      <c r="F78" s="11">
        <v>76</v>
      </c>
      <c r="G78" s="11">
        <v>46</v>
      </c>
    </row>
    <row r="79" spans="1:7" x14ac:dyDescent="0.2">
      <c r="A79" s="8">
        <v>2022</v>
      </c>
      <c r="B79" s="6" t="s">
        <v>11</v>
      </c>
      <c r="C79" s="11">
        <v>3080</v>
      </c>
      <c r="D79" s="11">
        <v>3995</v>
      </c>
      <c r="E79" s="11">
        <v>2532</v>
      </c>
      <c r="F79" s="11">
        <v>196</v>
      </c>
      <c r="G79" s="11">
        <v>79</v>
      </c>
    </row>
    <row r="80" spans="1:7" x14ac:dyDescent="0.2">
      <c r="A80" s="8">
        <v>2022</v>
      </c>
      <c r="B80" s="6" t="s">
        <v>12</v>
      </c>
      <c r="C80" s="11">
        <v>2758</v>
      </c>
      <c r="D80" s="11">
        <v>2043</v>
      </c>
      <c r="E80" s="11">
        <v>1130</v>
      </c>
      <c r="F80" s="11">
        <v>113</v>
      </c>
      <c r="G80" s="11">
        <v>71</v>
      </c>
    </row>
    <row r="81" spans="1:7" x14ac:dyDescent="0.2">
      <c r="A81" s="8">
        <v>2022</v>
      </c>
      <c r="B81" s="6" t="s">
        <v>13</v>
      </c>
      <c r="C81" s="11">
        <v>2087</v>
      </c>
      <c r="D81" s="11">
        <v>1666</v>
      </c>
      <c r="E81" s="11">
        <v>1498</v>
      </c>
      <c r="F81" s="11">
        <v>70</v>
      </c>
      <c r="G81" s="11">
        <v>41</v>
      </c>
    </row>
    <row r="82" spans="1:7" x14ac:dyDescent="0.2">
      <c r="A82" s="8">
        <v>2022</v>
      </c>
      <c r="B82" s="6" t="s">
        <v>14</v>
      </c>
      <c r="C82" s="11">
        <v>4369</v>
      </c>
      <c r="D82" s="11">
        <v>6897</v>
      </c>
      <c r="E82" s="11">
        <v>3353</v>
      </c>
      <c r="F82" s="11">
        <v>277</v>
      </c>
      <c r="G82" s="11">
        <v>134</v>
      </c>
    </row>
    <row r="83" spans="1:7" x14ac:dyDescent="0.2">
      <c r="A83" s="8">
        <v>2022</v>
      </c>
      <c r="B83" s="6" t="s">
        <v>15</v>
      </c>
      <c r="C83" s="11">
        <v>7904</v>
      </c>
      <c r="D83" s="11">
        <v>9117</v>
      </c>
      <c r="E83" s="11">
        <v>4603</v>
      </c>
      <c r="F83" s="11">
        <v>362</v>
      </c>
      <c r="G83" s="11">
        <v>223</v>
      </c>
    </row>
    <row r="84" spans="1:7" x14ac:dyDescent="0.2">
      <c r="A84" s="8">
        <v>2022</v>
      </c>
      <c r="B84" s="6" t="s">
        <v>32</v>
      </c>
      <c r="C84" s="11">
        <v>3059</v>
      </c>
      <c r="D84" s="11">
        <v>2841</v>
      </c>
      <c r="E84" s="11">
        <v>1323</v>
      </c>
      <c r="F84" s="11">
        <v>138</v>
      </c>
      <c r="G84" s="11">
        <v>85</v>
      </c>
    </row>
    <row r="85" spans="1:7" x14ac:dyDescent="0.2">
      <c r="A85" s="8">
        <v>2022</v>
      </c>
      <c r="B85" s="6" t="s">
        <v>16</v>
      </c>
      <c r="C85" s="11">
        <v>1582</v>
      </c>
      <c r="D85" s="11">
        <v>1175</v>
      </c>
      <c r="E85" s="11">
        <v>768</v>
      </c>
      <c r="F85" s="11">
        <v>57</v>
      </c>
      <c r="G85" s="11">
        <v>32</v>
      </c>
    </row>
    <row r="86" spans="1:7" x14ac:dyDescent="0.2">
      <c r="A86" s="8">
        <v>2022</v>
      </c>
      <c r="B86" s="6" t="s">
        <v>17</v>
      </c>
      <c r="C86" s="11">
        <v>1160</v>
      </c>
      <c r="D86" s="11">
        <v>907</v>
      </c>
      <c r="E86" s="11">
        <v>720</v>
      </c>
      <c r="F86" s="11">
        <v>55</v>
      </c>
      <c r="G86" s="11">
        <v>28</v>
      </c>
    </row>
    <row r="87" spans="1:7" x14ac:dyDescent="0.2">
      <c r="A87" s="8">
        <v>2022</v>
      </c>
      <c r="B87" s="6" t="s">
        <v>18</v>
      </c>
      <c r="C87" s="11">
        <v>3386</v>
      </c>
      <c r="D87" s="11">
        <v>4209</v>
      </c>
      <c r="E87" s="11">
        <v>1772</v>
      </c>
      <c r="F87" s="11">
        <v>193</v>
      </c>
      <c r="G87" s="11">
        <v>38</v>
      </c>
    </row>
    <row r="88" spans="1:7" x14ac:dyDescent="0.2">
      <c r="A88" s="8">
        <v>2022</v>
      </c>
      <c r="B88" s="6" t="s">
        <v>19</v>
      </c>
      <c r="C88" s="11">
        <v>3137</v>
      </c>
      <c r="D88" s="11">
        <v>2124</v>
      </c>
      <c r="E88" s="11">
        <v>1232</v>
      </c>
      <c r="F88" s="11">
        <v>105</v>
      </c>
      <c r="G88" s="11">
        <v>82</v>
      </c>
    </row>
    <row r="89" spans="1:7" x14ac:dyDescent="0.2">
      <c r="A89" s="8">
        <v>2022</v>
      </c>
      <c r="B89" s="6" t="s">
        <v>20</v>
      </c>
      <c r="C89" s="11">
        <v>4218</v>
      </c>
      <c r="D89" s="11">
        <v>3785</v>
      </c>
      <c r="E89" s="11">
        <v>2937</v>
      </c>
      <c r="F89" s="11">
        <v>190</v>
      </c>
      <c r="G89" s="11">
        <v>140</v>
      </c>
    </row>
    <row r="90" spans="1:7" x14ac:dyDescent="0.2">
      <c r="A90" s="8">
        <v>2022</v>
      </c>
      <c r="B90" s="6" t="s">
        <v>33</v>
      </c>
      <c r="C90" s="11">
        <v>1213</v>
      </c>
      <c r="D90" s="11">
        <v>1287</v>
      </c>
      <c r="E90" s="11">
        <v>711</v>
      </c>
      <c r="F90" s="11">
        <v>59</v>
      </c>
      <c r="G90" s="11">
        <v>17</v>
      </c>
    </row>
    <row r="91" spans="1:7" x14ac:dyDescent="0.2">
      <c r="A91" s="8">
        <v>2022</v>
      </c>
      <c r="B91" s="6" t="s">
        <v>21</v>
      </c>
      <c r="C91" s="11">
        <v>1086</v>
      </c>
      <c r="D91" s="11">
        <v>1062</v>
      </c>
      <c r="E91" s="11">
        <v>545</v>
      </c>
      <c r="F91" s="11">
        <v>50</v>
      </c>
      <c r="G91" s="11">
        <v>26</v>
      </c>
    </row>
    <row r="92" spans="1:7" x14ac:dyDescent="0.2">
      <c r="A92" s="8">
        <v>2022</v>
      </c>
      <c r="B92" s="6" t="s">
        <v>22</v>
      </c>
      <c r="C92" s="11">
        <v>1996</v>
      </c>
      <c r="D92" s="11">
        <v>2241</v>
      </c>
      <c r="E92" s="11">
        <v>1293</v>
      </c>
      <c r="F92" s="11">
        <v>117</v>
      </c>
      <c r="G92" s="11">
        <v>42</v>
      </c>
    </row>
    <row r="93" spans="1:7" x14ac:dyDescent="0.2">
      <c r="A93" s="8">
        <v>2022</v>
      </c>
      <c r="B93" s="6" t="s">
        <v>23</v>
      </c>
      <c r="C93" s="11">
        <v>2220</v>
      </c>
      <c r="D93" s="11">
        <v>2520</v>
      </c>
      <c r="E93" s="11">
        <v>1180</v>
      </c>
      <c r="F93" s="11">
        <v>127</v>
      </c>
      <c r="G93" s="11">
        <v>59</v>
      </c>
    </row>
    <row r="94" spans="1:7" x14ac:dyDescent="0.2">
      <c r="A94" s="8">
        <v>2022</v>
      </c>
      <c r="B94" s="6" t="s">
        <v>24</v>
      </c>
      <c r="C94" s="11">
        <v>2119</v>
      </c>
      <c r="D94" s="11">
        <v>3153</v>
      </c>
      <c r="E94" s="11">
        <v>1394</v>
      </c>
      <c r="F94" s="11">
        <v>142</v>
      </c>
      <c r="G94" s="11">
        <v>50</v>
      </c>
    </row>
    <row r="95" spans="1:7" x14ac:dyDescent="0.2">
      <c r="A95" s="8">
        <v>2022</v>
      </c>
      <c r="B95" s="6" t="s">
        <v>25</v>
      </c>
      <c r="C95" s="11">
        <v>2501</v>
      </c>
      <c r="D95" s="11">
        <v>1874</v>
      </c>
      <c r="E95" s="11">
        <v>1008</v>
      </c>
      <c r="F95" s="11">
        <v>96</v>
      </c>
      <c r="G95" s="11">
        <v>39</v>
      </c>
    </row>
    <row r="96" spans="1:7" x14ac:dyDescent="0.2">
      <c r="A96" s="8">
        <v>2022</v>
      </c>
      <c r="B96" s="6" t="s">
        <v>26</v>
      </c>
      <c r="C96" s="11">
        <v>2305</v>
      </c>
      <c r="D96" s="11">
        <v>3430</v>
      </c>
      <c r="E96" s="11">
        <v>1567</v>
      </c>
      <c r="F96" s="11">
        <v>135</v>
      </c>
      <c r="G96" s="11">
        <v>60</v>
      </c>
    </row>
    <row r="97" spans="1:7" x14ac:dyDescent="0.2">
      <c r="A97" s="8">
        <v>2022</v>
      </c>
      <c r="B97" s="6" t="s">
        <v>27</v>
      </c>
      <c r="C97" s="11">
        <v>934</v>
      </c>
      <c r="D97" s="11">
        <v>803</v>
      </c>
      <c r="E97" s="11">
        <v>826</v>
      </c>
      <c r="F97" s="11">
        <v>44</v>
      </c>
      <c r="G97" s="11">
        <v>20</v>
      </c>
    </row>
    <row r="98" spans="1:7" x14ac:dyDescent="0.2">
      <c r="A98" s="8">
        <v>2022</v>
      </c>
      <c r="B98" s="6" t="s">
        <v>34</v>
      </c>
      <c r="C98" s="11">
        <v>5580</v>
      </c>
      <c r="D98" s="11">
        <v>5145</v>
      </c>
      <c r="E98" s="11">
        <v>2462</v>
      </c>
      <c r="F98" s="11">
        <v>271</v>
      </c>
      <c r="G98" s="11">
        <v>128</v>
      </c>
    </row>
    <row r="99" spans="1:7" x14ac:dyDescent="0.2">
      <c r="A99" s="8">
        <v>2022</v>
      </c>
      <c r="B99" s="6" t="s">
        <v>28</v>
      </c>
      <c r="C99" s="11">
        <v>1429</v>
      </c>
      <c r="D99" s="11">
        <v>2006</v>
      </c>
      <c r="E99" s="11">
        <v>939</v>
      </c>
      <c r="F99" s="11">
        <v>74</v>
      </c>
      <c r="G99" s="11">
        <v>28</v>
      </c>
    </row>
    <row r="100" spans="1:7" x14ac:dyDescent="0.2">
      <c r="A100" s="8">
        <v>2022</v>
      </c>
      <c r="B100" s="6" t="s">
        <v>29</v>
      </c>
      <c r="C100" s="11">
        <v>1391</v>
      </c>
      <c r="D100" s="11">
        <v>1099</v>
      </c>
      <c r="E100" s="11">
        <v>839</v>
      </c>
      <c r="F100" s="11">
        <v>54</v>
      </c>
      <c r="G100" s="11">
        <v>31</v>
      </c>
    </row>
    <row r="101" spans="1:7" x14ac:dyDescent="0.2">
      <c r="A101" s="9">
        <v>2021</v>
      </c>
      <c r="B101" s="7" t="s">
        <v>2</v>
      </c>
      <c r="C101" s="10">
        <v>78870</v>
      </c>
      <c r="D101" s="10">
        <v>94047</v>
      </c>
      <c r="E101" s="10">
        <v>52047</v>
      </c>
      <c r="F101" s="10">
        <v>4243</v>
      </c>
      <c r="G101" s="10">
        <v>2063</v>
      </c>
    </row>
    <row r="102" spans="1:7" x14ac:dyDescent="0.2">
      <c r="A102" s="8">
        <v>2021</v>
      </c>
      <c r="B102" s="6" t="s">
        <v>3</v>
      </c>
      <c r="C102" s="11">
        <v>940</v>
      </c>
      <c r="D102" s="11">
        <v>1068</v>
      </c>
      <c r="E102" s="11">
        <v>607</v>
      </c>
      <c r="F102" s="11">
        <v>52</v>
      </c>
      <c r="G102" s="11">
        <v>15</v>
      </c>
    </row>
    <row r="103" spans="1:7" x14ac:dyDescent="0.2">
      <c r="A103" s="8">
        <v>2021</v>
      </c>
      <c r="B103" s="6" t="s">
        <v>4</v>
      </c>
      <c r="C103" s="11">
        <v>1623</v>
      </c>
      <c r="D103" s="11">
        <v>2219</v>
      </c>
      <c r="E103" s="11">
        <v>1128</v>
      </c>
      <c r="F103" s="11">
        <v>100</v>
      </c>
      <c r="G103" s="11">
        <v>39</v>
      </c>
    </row>
    <row r="104" spans="1:7" x14ac:dyDescent="0.2">
      <c r="A104" s="8">
        <v>2021</v>
      </c>
      <c r="B104" s="6" t="s">
        <v>5</v>
      </c>
      <c r="C104" s="11">
        <v>666</v>
      </c>
      <c r="D104" s="11">
        <v>721</v>
      </c>
      <c r="E104" s="11">
        <v>445</v>
      </c>
      <c r="F104" s="11">
        <v>38</v>
      </c>
      <c r="G104" s="11">
        <v>35</v>
      </c>
    </row>
    <row r="105" spans="1:7" x14ac:dyDescent="0.2">
      <c r="A105" s="8">
        <v>2021</v>
      </c>
      <c r="B105" s="6" t="s">
        <v>6</v>
      </c>
      <c r="C105" s="11">
        <v>764</v>
      </c>
      <c r="D105" s="11">
        <v>860</v>
      </c>
      <c r="E105" s="11">
        <v>561</v>
      </c>
      <c r="F105" s="11">
        <v>40</v>
      </c>
      <c r="G105" s="11">
        <v>22</v>
      </c>
    </row>
    <row r="106" spans="1:7" x14ac:dyDescent="0.2">
      <c r="A106" s="8">
        <v>2021</v>
      </c>
      <c r="B106" s="6" t="s">
        <v>31</v>
      </c>
      <c r="C106" s="11">
        <v>1941</v>
      </c>
      <c r="D106" s="11">
        <v>2954</v>
      </c>
      <c r="E106" s="11">
        <v>1179</v>
      </c>
      <c r="F106" s="11">
        <v>135</v>
      </c>
      <c r="G106" s="11">
        <v>53</v>
      </c>
    </row>
    <row r="107" spans="1:7" x14ac:dyDescent="0.2">
      <c r="A107" s="8">
        <v>2021</v>
      </c>
      <c r="B107" s="6" t="s">
        <v>7</v>
      </c>
      <c r="C107" s="11">
        <v>617</v>
      </c>
      <c r="D107" s="11">
        <v>686</v>
      </c>
      <c r="E107" s="11">
        <v>516</v>
      </c>
      <c r="F107" s="11">
        <v>31</v>
      </c>
      <c r="G107" s="11">
        <v>12</v>
      </c>
    </row>
    <row r="108" spans="1:7" x14ac:dyDescent="0.2">
      <c r="A108" s="8">
        <v>2021</v>
      </c>
      <c r="B108" s="6" t="s">
        <v>8</v>
      </c>
      <c r="C108" s="11">
        <v>3242</v>
      </c>
      <c r="D108" s="11">
        <v>2645</v>
      </c>
      <c r="E108" s="11">
        <v>1727</v>
      </c>
      <c r="F108" s="11">
        <v>145</v>
      </c>
      <c r="G108" s="11">
        <v>104</v>
      </c>
    </row>
    <row r="109" spans="1:7" x14ac:dyDescent="0.2">
      <c r="A109" s="8">
        <v>2021</v>
      </c>
      <c r="B109" s="6" t="s">
        <v>9</v>
      </c>
      <c r="C109" s="11">
        <v>2120</v>
      </c>
      <c r="D109" s="11">
        <v>2906</v>
      </c>
      <c r="E109" s="11">
        <v>1758</v>
      </c>
      <c r="F109" s="11">
        <v>122</v>
      </c>
      <c r="G109" s="11">
        <v>93</v>
      </c>
    </row>
    <row r="110" spans="1:7" x14ac:dyDescent="0.2">
      <c r="A110" s="8">
        <v>2021</v>
      </c>
      <c r="B110" s="6" t="s">
        <v>30</v>
      </c>
      <c r="C110" s="11">
        <v>9209</v>
      </c>
      <c r="D110" s="11">
        <v>15731</v>
      </c>
      <c r="E110" s="11">
        <v>5411</v>
      </c>
      <c r="F110" s="11">
        <v>703</v>
      </c>
      <c r="G110" s="11">
        <v>101</v>
      </c>
    </row>
    <row r="111" spans="1:7" x14ac:dyDescent="0.2">
      <c r="A111" s="8">
        <v>2021</v>
      </c>
      <c r="B111" s="6" t="s">
        <v>10</v>
      </c>
      <c r="C111" s="11">
        <v>1350</v>
      </c>
      <c r="D111" s="11">
        <v>1614</v>
      </c>
      <c r="E111" s="11">
        <v>793</v>
      </c>
      <c r="F111" s="11">
        <v>63</v>
      </c>
      <c r="G111" s="11">
        <v>44</v>
      </c>
    </row>
    <row r="112" spans="1:7" x14ac:dyDescent="0.2">
      <c r="A112" s="8">
        <v>2021</v>
      </c>
      <c r="B112" s="6" t="s">
        <v>11</v>
      </c>
      <c r="C112" s="11">
        <v>3031</v>
      </c>
      <c r="D112" s="11">
        <v>3840</v>
      </c>
      <c r="E112" s="11">
        <v>2544</v>
      </c>
      <c r="F112" s="11">
        <v>180</v>
      </c>
      <c r="G112" s="11">
        <v>80</v>
      </c>
    </row>
    <row r="113" spans="1:7" x14ac:dyDescent="0.2">
      <c r="A113" s="8">
        <v>2021</v>
      </c>
      <c r="B113" s="6" t="s">
        <v>12</v>
      </c>
      <c r="C113" s="11">
        <v>2578</v>
      </c>
      <c r="D113" s="11">
        <v>1976</v>
      </c>
      <c r="E113" s="11">
        <v>2126</v>
      </c>
      <c r="F113" s="11">
        <v>110</v>
      </c>
      <c r="G113" s="11">
        <v>71</v>
      </c>
    </row>
    <row r="114" spans="1:7" x14ac:dyDescent="0.2">
      <c r="A114" s="8">
        <v>2021</v>
      </c>
      <c r="B114" s="6" t="s">
        <v>13</v>
      </c>
      <c r="C114" s="11">
        <v>2058</v>
      </c>
      <c r="D114" s="11">
        <v>1717</v>
      </c>
      <c r="E114" s="11">
        <v>1554</v>
      </c>
      <c r="F114" s="11">
        <v>61</v>
      </c>
      <c r="G114" s="11">
        <v>100</v>
      </c>
    </row>
    <row r="115" spans="1:7" x14ac:dyDescent="0.2">
      <c r="A115" s="8">
        <v>2021</v>
      </c>
      <c r="B115" s="6" t="s">
        <v>14</v>
      </c>
      <c r="C115" s="11">
        <v>4261</v>
      </c>
      <c r="D115" s="11">
        <v>6840</v>
      </c>
      <c r="E115" s="11">
        <v>3330</v>
      </c>
      <c r="F115" s="11">
        <v>275</v>
      </c>
      <c r="G115" s="11">
        <v>139</v>
      </c>
    </row>
    <row r="116" spans="1:7" x14ac:dyDescent="0.2">
      <c r="A116" s="8">
        <v>2021</v>
      </c>
      <c r="B116" s="6" t="s">
        <v>15</v>
      </c>
      <c r="C116" s="11">
        <v>7757</v>
      </c>
      <c r="D116" s="11">
        <v>8959</v>
      </c>
      <c r="E116" s="11">
        <v>4575</v>
      </c>
      <c r="F116" s="11">
        <v>339</v>
      </c>
      <c r="G116" s="11">
        <v>220</v>
      </c>
    </row>
    <row r="117" spans="1:7" x14ac:dyDescent="0.2">
      <c r="A117" s="8">
        <v>2021</v>
      </c>
      <c r="B117" s="6" t="s">
        <v>32</v>
      </c>
      <c r="C117" s="11">
        <v>2974</v>
      </c>
      <c r="D117" s="11">
        <v>2779</v>
      </c>
      <c r="E117" s="11">
        <v>1491</v>
      </c>
      <c r="F117" s="11">
        <v>139</v>
      </c>
      <c r="G117" s="11">
        <v>85</v>
      </c>
    </row>
    <row r="118" spans="1:7" x14ac:dyDescent="0.2">
      <c r="A118" s="8">
        <v>2021</v>
      </c>
      <c r="B118" s="6" t="s">
        <v>16</v>
      </c>
      <c r="C118" s="11">
        <v>1375</v>
      </c>
      <c r="D118" s="11">
        <v>1068</v>
      </c>
      <c r="E118" s="11">
        <v>754</v>
      </c>
      <c r="F118" s="11">
        <v>50</v>
      </c>
      <c r="G118" s="11">
        <v>31</v>
      </c>
    </row>
    <row r="119" spans="1:7" x14ac:dyDescent="0.2">
      <c r="A119" s="8">
        <v>2021</v>
      </c>
      <c r="B119" s="6" t="s">
        <v>17</v>
      </c>
      <c r="C119" s="11">
        <v>1107</v>
      </c>
      <c r="D119" s="11">
        <v>891</v>
      </c>
      <c r="E119" s="11">
        <v>720</v>
      </c>
      <c r="F119" s="11">
        <v>42</v>
      </c>
      <c r="G119" s="11">
        <v>24</v>
      </c>
    </row>
    <row r="120" spans="1:7" x14ac:dyDescent="0.2">
      <c r="A120" s="8">
        <v>2021</v>
      </c>
      <c r="B120" s="6" t="s">
        <v>18</v>
      </c>
      <c r="C120" s="11">
        <v>3327</v>
      </c>
      <c r="D120" s="11">
        <v>4190</v>
      </c>
      <c r="E120" s="11">
        <v>1748</v>
      </c>
      <c r="F120" s="11">
        <v>191</v>
      </c>
      <c r="G120" s="11">
        <v>39</v>
      </c>
    </row>
    <row r="121" spans="1:7" x14ac:dyDescent="0.2">
      <c r="A121" s="8">
        <v>2021</v>
      </c>
      <c r="B121" s="6" t="s">
        <v>19</v>
      </c>
      <c r="C121" s="11">
        <v>3149</v>
      </c>
      <c r="D121" s="11">
        <v>2278</v>
      </c>
      <c r="E121" s="11">
        <v>2476</v>
      </c>
      <c r="F121" s="11">
        <v>117</v>
      </c>
      <c r="G121" s="11">
        <v>110</v>
      </c>
    </row>
    <row r="122" spans="1:7" x14ac:dyDescent="0.2">
      <c r="A122" s="8">
        <v>2021</v>
      </c>
      <c r="B122" s="6" t="s">
        <v>20</v>
      </c>
      <c r="C122" s="11">
        <v>3608</v>
      </c>
      <c r="D122" s="11">
        <v>3667</v>
      </c>
      <c r="E122" s="11">
        <v>2988</v>
      </c>
      <c r="F122" s="11">
        <v>182</v>
      </c>
      <c r="G122" s="11">
        <v>143</v>
      </c>
    </row>
    <row r="123" spans="1:7" x14ac:dyDescent="0.2">
      <c r="A123" s="8">
        <v>2021</v>
      </c>
      <c r="B123" s="6" t="s">
        <v>33</v>
      </c>
      <c r="C123" s="11">
        <v>1210</v>
      </c>
      <c r="D123" s="11">
        <v>1296</v>
      </c>
      <c r="E123" s="11">
        <v>992</v>
      </c>
      <c r="F123" s="11">
        <v>58</v>
      </c>
      <c r="G123" s="11">
        <v>17</v>
      </c>
    </row>
    <row r="124" spans="1:7" x14ac:dyDescent="0.2">
      <c r="A124" s="8">
        <v>2021</v>
      </c>
      <c r="B124" s="6" t="s">
        <v>21</v>
      </c>
      <c r="C124" s="11">
        <v>932</v>
      </c>
      <c r="D124" s="11">
        <v>1036</v>
      </c>
      <c r="E124" s="11">
        <v>582</v>
      </c>
      <c r="F124" s="11">
        <v>50</v>
      </c>
      <c r="G124" s="11">
        <v>25</v>
      </c>
    </row>
    <row r="125" spans="1:7" x14ac:dyDescent="0.2">
      <c r="A125" s="8">
        <v>2021</v>
      </c>
      <c r="B125" s="6" t="s">
        <v>22</v>
      </c>
      <c r="C125" s="11">
        <v>1908</v>
      </c>
      <c r="D125" s="11">
        <v>2157</v>
      </c>
      <c r="E125" s="11">
        <v>1290</v>
      </c>
      <c r="F125" s="11">
        <v>107</v>
      </c>
      <c r="G125" s="11">
        <v>44</v>
      </c>
    </row>
    <row r="126" spans="1:7" x14ac:dyDescent="0.2">
      <c r="A126" s="8">
        <v>2021</v>
      </c>
      <c r="B126" s="6" t="s">
        <v>23</v>
      </c>
      <c r="C126" s="11">
        <v>2065</v>
      </c>
      <c r="D126" s="11">
        <v>2521</v>
      </c>
      <c r="E126" s="11">
        <v>1219</v>
      </c>
      <c r="F126" s="11">
        <v>109</v>
      </c>
      <c r="G126" s="11">
        <v>59</v>
      </c>
    </row>
    <row r="127" spans="1:7" x14ac:dyDescent="0.2">
      <c r="A127" s="8">
        <v>2021</v>
      </c>
      <c r="B127" s="6" t="s">
        <v>24</v>
      </c>
      <c r="C127" s="11">
        <v>2073</v>
      </c>
      <c r="D127" s="11">
        <v>2813</v>
      </c>
      <c r="E127" s="11">
        <v>1567</v>
      </c>
      <c r="F127" s="11">
        <v>133</v>
      </c>
      <c r="G127" s="11">
        <v>47</v>
      </c>
    </row>
    <row r="128" spans="1:7" x14ac:dyDescent="0.2">
      <c r="A128" s="8">
        <v>2021</v>
      </c>
      <c r="B128" s="6" t="s">
        <v>25</v>
      </c>
      <c r="C128" s="11">
        <v>2274</v>
      </c>
      <c r="D128" s="11">
        <v>1789</v>
      </c>
      <c r="E128" s="11">
        <v>1046</v>
      </c>
      <c r="F128" s="11">
        <v>99</v>
      </c>
      <c r="G128" s="11">
        <v>38</v>
      </c>
    </row>
    <row r="129" spans="1:7" x14ac:dyDescent="0.2">
      <c r="A129" s="8">
        <v>2021</v>
      </c>
      <c r="B129" s="6" t="s">
        <v>26</v>
      </c>
      <c r="C129" s="11">
        <v>2340</v>
      </c>
      <c r="D129" s="11">
        <v>3448</v>
      </c>
      <c r="E129" s="11">
        <v>1520</v>
      </c>
      <c r="F129" s="11">
        <v>143</v>
      </c>
      <c r="G129" s="11">
        <v>61</v>
      </c>
    </row>
    <row r="130" spans="1:7" x14ac:dyDescent="0.2">
      <c r="A130" s="8">
        <v>2021</v>
      </c>
      <c r="B130" s="6" t="s">
        <v>27</v>
      </c>
      <c r="C130" s="11">
        <v>890</v>
      </c>
      <c r="D130" s="11">
        <v>714</v>
      </c>
      <c r="E130" s="11">
        <v>777</v>
      </c>
      <c r="F130" s="11">
        <v>36</v>
      </c>
      <c r="G130" s="11">
        <v>18</v>
      </c>
    </row>
    <row r="131" spans="1:7" x14ac:dyDescent="0.2">
      <c r="A131" s="8">
        <v>2021</v>
      </c>
      <c r="B131" s="6" t="s">
        <v>34</v>
      </c>
      <c r="C131" s="11">
        <v>4890</v>
      </c>
      <c r="D131" s="11">
        <v>5323</v>
      </c>
      <c r="E131" s="11">
        <v>2508</v>
      </c>
      <c r="F131" s="11">
        <v>265</v>
      </c>
      <c r="G131" s="11">
        <v>134</v>
      </c>
    </row>
    <row r="132" spans="1:7" x14ac:dyDescent="0.2">
      <c r="A132" s="8">
        <v>2021</v>
      </c>
      <c r="B132" s="6" t="s">
        <v>28</v>
      </c>
      <c r="C132" s="11">
        <v>1421</v>
      </c>
      <c r="D132" s="11">
        <v>2263</v>
      </c>
      <c r="E132" s="11">
        <v>1250</v>
      </c>
      <c r="F132" s="11">
        <v>76</v>
      </c>
      <c r="G132" s="11">
        <v>28</v>
      </c>
    </row>
    <row r="133" spans="1:7" x14ac:dyDescent="0.2">
      <c r="A133" s="8">
        <v>2021</v>
      </c>
      <c r="B133" s="6" t="s">
        <v>29</v>
      </c>
      <c r="C133" s="11">
        <v>1170</v>
      </c>
      <c r="D133" s="11">
        <v>1078</v>
      </c>
      <c r="E133" s="11">
        <v>865</v>
      </c>
      <c r="F133" s="11">
        <v>52</v>
      </c>
      <c r="G133" s="11">
        <v>32</v>
      </c>
    </row>
    <row r="134" spans="1:7" x14ac:dyDescent="0.2">
      <c r="A134" s="9">
        <v>2020</v>
      </c>
      <c r="B134" s="7" t="s">
        <v>2</v>
      </c>
      <c r="C134" s="10">
        <v>79067</v>
      </c>
      <c r="D134" s="10">
        <v>93219</v>
      </c>
      <c r="E134" s="10">
        <v>52342</v>
      </c>
      <c r="F134" s="10">
        <v>4181</v>
      </c>
      <c r="G134" s="10">
        <v>2179</v>
      </c>
    </row>
    <row r="135" spans="1:7" x14ac:dyDescent="0.2">
      <c r="A135" s="8">
        <v>2020</v>
      </c>
      <c r="B135" s="6" t="s">
        <v>3</v>
      </c>
      <c r="C135" s="11">
        <v>909</v>
      </c>
      <c r="D135" s="11">
        <v>1007</v>
      </c>
      <c r="E135" s="11">
        <v>589</v>
      </c>
      <c r="F135" s="11">
        <v>53</v>
      </c>
      <c r="G135" s="11">
        <v>15</v>
      </c>
    </row>
    <row r="136" spans="1:7" x14ac:dyDescent="0.2">
      <c r="A136" s="8">
        <v>2020</v>
      </c>
      <c r="B136" s="6" t="s">
        <v>4</v>
      </c>
      <c r="C136" s="11">
        <v>1583</v>
      </c>
      <c r="D136" s="11">
        <v>2234</v>
      </c>
      <c r="E136" s="11">
        <v>1132</v>
      </c>
      <c r="F136" s="11">
        <v>101</v>
      </c>
      <c r="G136" s="11">
        <v>39</v>
      </c>
    </row>
    <row r="137" spans="1:7" x14ac:dyDescent="0.2">
      <c r="A137" s="8">
        <v>2020</v>
      </c>
      <c r="B137" s="6" t="s">
        <v>5</v>
      </c>
      <c r="C137" s="11">
        <v>673</v>
      </c>
      <c r="D137" s="11">
        <v>756</v>
      </c>
      <c r="E137" s="11">
        <v>453</v>
      </c>
      <c r="F137" s="11">
        <v>35</v>
      </c>
      <c r="G137" s="11">
        <v>33</v>
      </c>
    </row>
    <row r="138" spans="1:7" x14ac:dyDescent="0.2">
      <c r="A138" s="8">
        <v>2020</v>
      </c>
      <c r="B138" s="6" t="s">
        <v>6</v>
      </c>
      <c r="C138" s="11">
        <v>808</v>
      </c>
      <c r="D138" s="11">
        <v>843</v>
      </c>
      <c r="E138" s="11">
        <v>564</v>
      </c>
      <c r="F138" s="11">
        <v>39</v>
      </c>
      <c r="G138" s="11">
        <v>21</v>
      </c>
    </row>
    <row r="139" spans="1:7" x14ac:dyDescent="0.2">
      <c r="A139" s="8">
        <v>2020</v>
      </c>
      <c r="B139" s="6" t="s">
        <v>31</v>
      </c>
      <c r="C139" s="11">
        <v>1869</v>
      </c>
      <c r="D139" s="11">
        <v>2937</v>
      </c>
      <c r="E139" s="11">
        <v>1202</v>
      </c>
      <c r="F139" s="11">
        <v>138</v>
      </c>
      <c r="G139" s="11">
        <v>54</v>
      </c>
    </row>
    <row r="140" spans="1:7" x14ac:dyDescent="0.2">
      <c r="A140" s="8">
        <v>2020</v>
      </c>
      <c r="B140" s="6" t="s">
        <v>7</v>
      </c>
      <c r="C140" s="11">
        <v>622</v>
      </c>
      <c r="D140" s="11">
        <v>664</v>
      </c>
      <c r="E140" s="11">
        <v>533</v>
      </c>
      <c r="F140" s="11">
        <v>32</v>
      </c>
      <c r="G140" s="11">
        <v>13</v>
      </c>
    </row>
    <row r="141" spans="1:7" x14ac:dyDescent="0.2">
      <c r="A141" s="8">
        <v>2020</v>
      </c>
      <c r="B141" s="6" t="s">
        <v>8</v>
      </c>
      <c r="C141" s="11">
        <v>3164</v>
      </c>
      <c r="D141" s="11">
        <v>2495</v>
      </c>
      <c r="E141" s="11">
        <v>1638</v>
      </c>
      <c r="F141" s="11">
        <v>145</v>
      </c>
      <c r="G141" s="11">
        <v>101</v>
      </c>
    </row>
    <row r="142" spans="1:7" x14ac:dyDescent="0.2">
      <c r="A142" s="8">
        <v>2020</v>
      </c>
      <c r="B142" s="6" t="s">
        <v>9</v>
      </c>
      <c r="C142" s="11">
        <v>2267</v>
      </c>
      <c r="D142" s="11">
        <v>2845</v>
      </c>
      <c r="E142" s="11">
        <v>1758</v>
      </c>
      <c r="F142" s="11">
        <v>133</v>
      </c>
      <c r="G142" s="11">
        <v>93</v>
      </c>
    </row>
    <row r="143" spans="1:7" x14ac:dyDescent="0.2">
      <c r="A143" s="8">
        <v>2020</v>
      </c>
      <c r="B143" s="6" t="s">
        <v>30</v>
      </c>
      <c r="C143" s="11">
        <v>9344</v>
      </c>
      <c r="D143" s="11">
        <v>16643</v>
      </c>
      <c r="E143" s="11">
        <v>5286</v>
      </c>
      <c r="F143" s="11">
        <v>636</v>
      </c>
      <c r="G143" s="11">
        <v>100</v>
      </c>
    </row>
    <row r="144" spans="1:7" x14ac:dyDescent="0.2">
      <c r="A144" s="8">
        <v>2020</v>
      </c>
      <c r="B144" s="6" t="s">
        <v>10</v>
      </c>
      <c r="C144" s="11">
        <v>1410</v>
      </c>
      <c r="D144" s="11">
        <v>1587</v>
      </c>
      <c r="E144" s="11">
        <v>758</v>
      </c>
      <c r="F144" s="11">
        <v>63</v>
      </c>
      <c r="G144" s="11">
        <v>44</v>
      </c>
    </row>
    <row r="145" spans="1:7" x14ac:dyDescent="0.2">
      <c r="A145" s="8">
        <v>2020</v>
      </c>
      <c r="B145" s="6" t="s">
        <v>11</v>
      </c>
      <c r="C145" s="11">
        <v>3026</v>
      </c>
      <c r="D145" s="11">
        <v>3830</v>
      </c>
      <c r="E145" s="11">
        <v>2575</v>
      </c>
      <c r="F145" s="11">
        <v>178</v>
      </c>
      <c r="G145" s="11">
        <v>85</v>
      </c>
    </row>
    <row r="146" spans="1:7" x14ac:dyDescent="0.2">
      <c r="A146" s="8">
        <v>2020</v>
      </c>
      <c r="B146" s="6" t="s">
        <v>12</v>
      </c>
      <c r="C146" s="11">
        <v>2571</v>
      </c>
      <c r="D146" s="11">
        <v>1960</v>
      </c>
      <c r="E146" s="11">
        <v>2354</v>
      </c>
      <c r="F146" s="11">
        <v>111</v>
      </c>
      <c r="G146" s="11">
        <v>71</v>
      </c>
    </row>
    <row r="147" spans="1:7" x14ac:dyDescent="0.2">
      <c r="A147" s="8">
        <v>2020</v>
      </c>
      <c r="B147" s="6" t="s">
        <v>13</v>
      </c>
      <c r="C147" s="11">
        <v>2090</v>
      </c>
      <c r="D147" s="11">
        <v>1530</v>
      </c>
      <c r="E147" s="11">
        <v>1502</v>
      </c>
      <c r="F147" s="11">
        <v>61</v>
      </c>
      <c r="G147" s="11">
        <v>103</v>
      </c>
    </row>
    <row r="148" spans="1:7" x14ac:dyDescent="0.2">
      <c r="A148" s="8">
        <v>2020</v>
      </c>
      <c r="B148" s="6" t="s">
        <v>14</v>
      </c>
      <c r="C148" s="11">
        <v>4231</v>
      </c>
      <c r="D148" s="11">
        <v>6798</v>
      </c>
      <c r="E148" s="11">
        <v>3252</v>
      </c>
      <c r="F148" s="11">
        <v>260</v>
      </c>
      <c r="G148" s="11">
        <v>160</v>
      </c>
    </row>
    <row r="149" spans="1:7" x14ac:dyDescent="0.2">
      <c r="A149" s="8">
        <v>2020</v>
      </c>
      <c r="B149" s="6" t="s">
        <v>15</v>
      </c>
      <c r="C149" s="11">
        <v>7676</v>
      </c>
      <c r="D149" s="11">
        <v>8594</v>
      </c>
      <c r="E149" s="11">
        <v>4552</v>
      </c>
      <c r="F149" s="11">
        <v>345</v>
      </c>
      <c r="G149" s="11">
        <v>218</v>
      </c>
    </row>
    <row r="150" spans="1:7" x14ac:dyDescent="0.2">
      <c r="A150" s="8">
        <v>2020</v>
      </c>
      <c r="B150" s="6" t="s">
        <v>32</v>
      </c>
      <c r="C150" s="11">
        <v>3011</v>
      </c>
      <c r="D150" s="11">
        <v>2758</v>
      </c>
      <c r="E150" s="11">
        <v>1604</v>
      </c>
      <c r="F150" s="11">
        <v>139</v>
      </c>
      <c r="G150" s="11">
        <v>85</v>
      </c>
    </row>
    <row r="151" spans="1:7" x14ac:dyDescent="0.2">
      <c r="A151" s="8">
        <v>2020</v>
      </c>
      <c r="B151" s="6" t="s">
        <v>16</v>
      </c>
      <c r="C151" s="11">
        <v>1283</v>
      </c>
      <c r="D151" s="11">
        <v>1056</v>
      </c>
      <c r="E151" s="11">
        <v>675</v>
      </c>
      <c r="F151" s="11">
        <v>55</v>
      </c>
      <c r="G151" s="11">
        <v>29</v>
      </c>
    </row>
    <row r="152" spans="1:7" x14ac:dyDescent="0.2">
      <c r="A152" s="8">
        <v>2020</v>
      </c>
      <c r="B152" s="6" t="s">
        <v>17</v>
      </c>
      <c r="C152" s="11">
        <v>1118</v>
      </c>
      <c r="D152" s="11">
        <v>718</v>
      </c>
      <c r="E152" s="11">
        <v>660</v>
      </c>
      <c r="F152" s="11">
        <v>33</v>
      </c>
      <c r="G152" s="11">
        <v>23</v>
      </c>
    </row>
    <row r="153" spans="1:7" x14ac:dyDescent="0.2">
      <c r="A153" s="8">
        <v>2020</v>
      </c>
      <c r="B153" s="6" t="s">
        <v>18</v>
      </c>
      <c r="C153" s="11">
        <v>3269</v>
      </c>
      <c r="D153" s="11">
        <v>4102</v>
      </c>
      <c r="E153" s="11">
        <v>1761</v>
      </c>
      <c r="F153" s="11">
        <v>185</v>
      </c>
      <c r="G153" s="11">
        <v>39</v>
      </c>
    </row>
    <row r="154" spans="1:7" x14ac:dyDescent="0.2">
      <c r="A154" s="8">
        <v>2020</v>
      </c>
      <c r="B154" s="6" t="s">
        <v>19</v>
      </c>
      <c r="C154" s="11">
        <v>3106</v>
      </c>
      <c r="D154" s="11">
        <v>2221</v>
      </c>
      <c r="E154" s="11">
        <v>2540</v>
      </c>
      <c r="F154" s="11">
        <v>116</v>
      </c>
      <c r="G154" s="11">
        <v>122</v>
      </c>
    </row>
    <row r="155" spans="1:7" x14ac:dyDescent="0.2">
      <c r="A155" s="8">
        <v>2020</v>
      </c>
      <c r="B155" s="6" t="s">
        <v>20</v>
      </c>
      <c r="C155" s="11">
        <v>3655</v>
      </c>
      <c r="D155" s="11">
        <v>3686</v>
      </c>
      <c r="E155" s="11">
        <v>3139</v>
      </c>
      <c r="F155" s="11">
        <v>208</v>
      </c>
      <c r="G155" s="11">
        <v>222</v>
      </c>
    </row>
    <row r="156" spans="1:7" x14ac:dyDescent="0.2">
      <c r="A156" s="8">
        <v>2020</v>
      </c>
      <c r="B156" s="6" t="s">
        <v>33</v>
      </c>
      <c r="C156" s="11">
        <v>1142</v>
      </c>
      <c r="D156" s="11">
        <v>1173</v>
      </c>
      <c r="E156" s="11">
        <v>931</v>
      </c>
      <c r="F156" s="11">
        <v>55</v>
      </c>
      <c r="G156" s="11">
        <v>21</v>
      </c>
    </row>
    <row r="157" spans="1:7" x14ac:dyDescent="0.2">
      <c r="A157" s="8">
        <v>2020</v>
      </c>
      <c r="B157" s="6" t="s">
        <v>21</v>
      </c>
      <c r="C157" s="11">
        <v>907</v>
      </c>
      <c r="D157" s="11">
        <v>1147</v>
      </c>
      <c r="E157" s="11">
        <v>610</v>
      </c>
      <c r="F157" s="11">
        <v>53</v>
      </c>
      <c r="G157" s="11">
        <v>26</v>
      </c>
    </row>
    <row r="158" spans="1:7" x14ac:dyDescent="0.2">
      <c r="A158" s="8">
        <v>2020</v>
      </c>
      <c r="B158" s="6" t="s">
        <v>22</v>
      </c>
      <c r="C158" s="11">
        <v>2097</v>
      </c>
      <c r="D158" s="11">
        <v>2120</v>
      </c>
      <c r="E158" s="11">
        <v>1270</v>
      </c>
      <c r="F158" s="11">
        <v>104</v>
      </c>
      <c r="G158" s="11">
        <v>46</v>
      </c>
    </row>
    <row r="159" spans="1:7" x14ac:dyDescent="0.2">
      <c r="A159" s="8">
        <v>2020</v>
      </c>
      <c r="B159" s="6" t="s">
        <v>23</v>
      </c>
      <c r="C159" s="11">
        <v>2095</v>
      </c>
      <c r="D159" s="11">
        <v>2522</v>
      </c>
      <c r="E159" s="11">
        <v>1262</v>
      </c>
      <c r="F159" s="11">
        <v>112</v>
      </c>
      <c r="G159" s="11">
        <v>60</v>
      </c>
    </row>
    <row r="160" spans="1:7" x14ac:dyDescent="0.2">
      <c r="A160" s="8">
        <v>2020</v>
      </c>
      <c r="B160" s="6" t="s">
        <v>24</v>
      </c>
      <c r="C160" s="11">
        <v>1892</v>
      </c>
      <c r="D160" s="11">
        <v>2735</v>
      </c>
      <c r="E160" s="11">
        <v>1530</v>
      </c>
      <c r="F160" s="11">
        <v>128</v>
      </c>
      <c r="G160" s="11">
        <v>46</v>
      </c>
    </row>
    <row r="161" spans="1:7" x14ac:dyDescent="0.2">
      <c r="A161" s="8">
        <v>2020</v>
      </c>
      <c r="B161" s="6" t="s">
        <v>25</v>
      </c>
      <c r="C161" s="11">
        <v>2285</v>
      </c>
      <c r="D161" s="11">
        <v>1722</v>
      </c>
      <c r="E161" s="11">
        <v>1147</v>
      </c>
      <c r="F161" s="11">
        <v>101</v>
      </c>
      <c r="G161" s="11">
        <v>38</v>
      </c>
    </row>
    <row r="162" spans="1:7" x14ac:dyDescent="0.2">
      <c r="A162" s="8">
        <v>2020</v>
      </c>
      <c r="B162" s="6" t="s">
        <v>26</v>
      </c>
      <c r="C162" s="11">
        <v>2362</v>
      </c>
      <c r="D162" s="11">
        <v>3473</v>
      </c>
      <c r="E162" s="11">
        <v>1555</v>
      </c>
      <c r="F162" s="11">
        <v>142</v>
      </c>
      <c r="G162" s="11">
        <v>63</v>
      </c>
    </row>
    <row r="163" spans="1:7" x14ac:dyDescent="0.2">
      <c r="A163" s="8">
        <v>2020</v>
      </c>
      <c r="B163" s="6" t="s">
        <v>27</v>
      </c>
      <c r="C163" s="11">
        <v>883</v>
      </c>
      <c r="D163" s="11">
        <v>708</v>
      </c>
      <c r="E163" s="11">
        <v>773</v>
      </c>
      <c r="F163" s="11">
        <v>36</v>
      </c>
      <c r="G163" s="11">
        <v>18</v>
      </c>
    </row>
    <row r="164" spans="1:7" x14ac:dyDescent="0.2">
      <c r="A164" s="8">
        <v>2020</v>
      </c>
      <c r="B164" s="6" t="s">
        <v>34</v>
      </c>
      <c r="C164" s="11">
        <v>4945</v>
      </c>
      <c r="D164" s="11">
        <v>5169</v>
      </c>
      <c r="E164" s="11">
        <v>2574</v>
      </c>
      <c r="F164" s="11">
        <v>260</v>
      </c>
      <c r="G164" s="11">
        <v>133</v>
      </c>
    </row>
    <row r="165" spans="1:7" x14ac:dyDescent="0.2">
      <c r="A165" s="8">
        <v>2020</v>
      </c>
      <c r="B165" s="6" t="s">
        <v>28</v>
      </c>
      <c r="C165" s="11">
        <v>1443</v>
      </c>
      <c r="D165" s="11">
        <v>2216</v>
      </c>
      <c r="E165" s="11">
        <v>1266</v>
      </c>
      <c r="F165" s="11">
        <v>75</v>
      </c>
      <c r="G165" s="11">
        <v>28</v>
      </c>
    </row>
    <row r="166" spans="1:7" x14ac:dyDescent="0.2">
      <c r="A166" s="8">
        <v>2020</v>
      </c>
      <c r="B166" s="6" t="s">
        <v>29</v>
      </c>
      <c r="C166" s="11">
        <v>1331</v>
      </c>
      <c r="D166" s="11">
        <v>970</v>
      </c>
      <c r="E166" s="11">
        <v>897</v>
      </c>
      <c r="F166" s="11">
        <v>49</v>
      </c>
      <c r="G166" s="11">
        <v>30</v>
      </c>
    </row>
    <row r="167" spans="1:7" x14ac:dyDescent="0.2">
      <c r="A167" s="9">
        <v>2019</v>
      </c>
      <c r="B167" s="7" t="s">
        <v>2</v>
      </c>
      <c r="C167" s="10">
        <v>76875</v>
      </c>
      <c r="D167" s="10">
        <v>89538</v>
      </c>
      <c r="E167" s="10">
        <v>50466</v>
      </c>
      <c r="F167" s="10">
        <v>4198</v>
      </c>
      <c r="G167" s="10">
        <v>2221</v>
      </c>
    </row>
    <row r="168" spans="1:7" x14ac:dyDescent="0.2">
      <c r="A168" s="8">
        <v>2019</v>
      </c>
      <c r="B168" s="6" t="s">
        <v>3</v>
      </c>
      <c r="C168" s="11">
        <v>900</v>
      </c>
      <c r="D168" s="11">
        <v>974</v>
      </c>
      <c r="E168" s="11">
        <v>599</v>
      </c>
      <c r="F168" s="11">
        <v>60</v>
      </c>
      <c r="G168" s="11">
        <v>15</v>
      </c>
    </row>
    <row r="169" spans="1:7" x14ac:dyDescent="0.2">
      <c r="A169" s="8">
        <v>2019</v>
      </c>
      <c r="B169" s="6" t="s">
        <v>4</v>
      </c>
      <c r="C169" s="11">
        <v>1517</v>
      </c>
      <c r="D169" s="11">
        <v>2134</v>
      </c>
      <c r="E169" s="11">
        <v>1070</v>
      </c>
      <c r="F169" s="11">
        <v>102</v>
      </c>
      <c r="G169" s="11">
        <v>38</v>
      </c>
    </row>
    <row r="170" spans="1:7" x14ac:dyDescent="0.2">
      <c r="A170" s="8">
        <v>2019</v>
      </c>
      <c r="B170" s="6" t="s">
        <v>5</v>
      </c>
      <c r="C170" s="11">
        <v>660</v>
      </c>
      <c r="D170" s="11">
        <v>713</v>
      </c>
      <c r="E170" s="11">
        <v>452</v>
      </c>
      <c r="F170" s="11">
        <v>37</v>
      </c>
      <c r="G170" s="11">
        <v>32</v>
      </c>
    </row>
    <row r="171" spans="1:7" x14ac:dyDescent="0.2">
      <c r="A171" s="8">
        <v>2019</v>
      </c>
      <c r="B171" s="6" t="s">
        <v>6</v>
      </c>
      <c r="C171" s="11">
        <v>777</v>
      </c>
      <c r="D171" s="11">
        <v>802</v>
      </c>
      <c r="E171" s="11">
        <v>587</v>
      </c>
      <c r="F171" s="11">
        <v>41</v>
      </c>
      <c r="G171" s="11">
        <v>24</v>
      </c>
    </row>
    <row r="172" spans="1:7" x14ac:dyDescent="0.2">
      <c r="A172" s="8">
        <v>2019</v>
      </c>
      <c r="B172" s="6" t="s">
        <v>31</v>
      </c>
      <c r="C172" s="11">
        <v>1835</v>
      </c>
      <c r="D172" s="11">
        <v>2900</v>
      </c>
      <c r="E172" s="11">
        <v>1179</v>
      </c>
      <c r="F172" s="11">
        <v>135</v>
      </c>
      <c r="G172" s="11">
        <v>55</v>
      </c>
    </row>
    <row r="173" spans="1:7" x14ac:dyDescent="0.2">
      <c r="A173" s="8">
        <v>2019</v>
      </c>
      <c r="B173" s="6" t="s">
        <v>7</v>
      </c>
      <c r="C173" s="11">
        <v>601</v>
      </c>
      <c r="D173" s="11">
        <v>667</v>
      </c>
      <c r="E173" s="11">
        <v>562</v>
      </c>
      <c r="F173" s="11">
        <v>31</v>
      </c>
      <c r="G173" s="11">
        <v>13</v>
      </c>
    </row>
    <row r="174" spans="1:7" x14ac:dyDescent="0.2">
      <c r="A174" s="8">
        <v>2019</v>
      </c>
      <c r="B174" s="6" t="s">
        <v>8</v>
      </c>
      <c r="C174" s="11">
        <v>3098</v>
      </c>
      <c r="D174" s="11">
        <v>2252</v>
      </c>
      <c r="E174" s="11">
        <v>1636</v>
      </c>
      <c r="F174" s="11">
        <v>151</v>
      </c>
      <c r="G174" s="11">
        <v>97</v>
      </c>
    </row>
    <row r="175" spans="1:7" x14ac:dyDescent="0.2">
      <c r="A175" s="8">
        <v>2019</v>
      </c>
      <c r="B175" s="6" t="s">
        <v>9</v>
      </c>
      <c r="C175" s="11">
        <v>2079</v>
      </c>
      <c r="D175" s="11">
        <v>3015</v>
      </c>
      <c r="E175" s="11">
        <v>1731</v>
      </c>
      <c r="F175" s="11">
        <v>138</v>
      </c>
      <c r="G175" s="11">
        <v>114</v>
      </c>
    </row>
    <row r="176" spans="1:7" x14ac:dyDescent="0.2">
      <c r="A176" s="8">
        <v>2019</v>
      </c>
      <c r="B176" s="6" t="s">
        <v>30</v>
      </c>
      <c r="C176" s="11">
        <v>9092</v>
      </c>
      <c r="D176" s="11">
        <v>15542</v>
      </c>
      <c r="E176" s="11">
        <v>5241</v>
      </c>
      <c r="F176" s="11">
        <v>647</v>
      </c>
      <c r="G176" s="11">
        <v>100</v>
      </c>
    </row>
    <row r="177" spans="1:7" x14ac:dyDescent="0.2">
      <c r="A177" s="8">
        <v>2019</v>
      </c>
      <c r="B177" s="6" t="s">
        <v>10</v>
      </c>
      <c r="C177" s="11">
        <v>1306</v>
      </c>
      <c r="D177" s="11">
        <v>1518</v>
      </c>
      <c r="E177" s="11">
        <v>645</v>
      </c>
      <c r="F177" s="11">
        <v>62</v>
      </c>
      <c r="G177" s="11">
        <v>44</v>
      </c>
    </row>
    <row r="178" spans="1:7" x14ac:dyDescent="0.2">
      <c r="A178" s="8">
        <v>2019</v>
      </c>
      <c r="B178" s="6" t="s">
        <v>11</v>
      </c>
      <c r="C178" s="11">
        <v>2995</v>
      </c>
      <c r="D178" s="11">
        <v>3752</v>
      </c>
      <c r="E178" s="11">
        <v>2488</v>
      </c>
      <c r="F178" s="11">
        <v>177</v>
      </c>
      <c r="G178" s="11">
        <v>82</v>
      </c>
    </row>
    <row r="179" spans="1:7" x14ac:dyDescent="0.2">
      <c r="A179" s="8">
        <v>2019</v>
      </c>
      <c r="B179" s="6" t="s">
        <v>12</v>
      </c>
      <c r="C179" s="11">
        <v>2574</v>
      </c>
      <c r="D179" s="11">
        <v>1990</v>
      </c>
      <c r="E179" s="11">
        <v>2353</v>
      </c>
      <c r="F179" s="11">
        <v>114</v>
      </c>
      <c r="G179" s="11">
        <v>73</v>
      </c>
    </row>
    <row r="180" spans="1:7" x14ac:dyDescent="0.2">
      <c r="A180" s="8">
        <v>2019</v>
      </c>
      <c r="B180" s="6" t="s">
        <v>13</v>
      </c>
      <c r="C180" s="11">
        <v>1980</v>
      </c>
      <c r="D180" s="11">
        <v>1377</v>
      </c>
      <c r="E180" s="11">
        <v>1355</v>
      </c>
      <c r="F180" s="11">
        <v>61</v>
      </c>
      <c r="G180" s="11">
        <v>104</v>
      </c>
    </row>
    <row r="181" spans="1:7" x14ac:dyDescent="0.2">
      <c r="A181" s="8">
        <v>2019</v>
      </c>
      <c r="B181" s="6" t="s">
        <v>14</v>
      </c>
      <c r="C181" s="11">
        <v>4277</v>
      </c>
      <c r="D181" s="11">
        <v>6494</v>
      </c>
      <c r="E181" s="11">
        <v>2951</v>
      </c>
      <c r="F181" s="11">
        <v>263</v>
      </c>
      <c r="G181" s="11">
        <v>169</v>
      </c>
    </row>
    <row r="182" spans="1:7" x14ac:dyDescent="0.2">
      <c r="A182" s="8">
        <v>2019</v>
      </c>
      <c r="B182" s="6" t="s">
        <v>15</v>
      </c>
      <c r="C182" s="11">
        <v>7523</v>
      </c>
      <c r="D182" s="11">
        <v>8267</v>
      </c>
      <c r="E182" s="11">
        <v>4430</v>
      </c>
      <c r="F182" s="11">
        <v>333</v>
      </c>
      <c r="G182" s="11">
        <v>217</v>
      </c>
    </row>
    <row r="183" spans="1:7" x14ac:dyDescent="0.2">
      <c r="A183" s="8">
        <v>2019</v>
      </c>
      <c r="B183" s="6" t="s">
        <v>32</v>
      </c>
      <c r="C183" s="11">
        <v>2921</v>
      </c>
      <c r="D183" s="11">
        <v>2622</v>
      </c>
      <c r="E183" s="11">
        <v>1565</v>
      </c>
      <c r="F183" s="11">
        <v>133</v>
      </c>
      <c r="G183" s="11">
        <v>90</v>
      </c>
    </row>
    <row r="184" spans="1:7" x14ac:dyDescent="0.2">
      <c r="A184" s="8">
        <v>2019</v>
      </c>
      <c r="B184" s="6" t="s">
        <v>16</v>
      </c>
      <c r="C184" s="11">
        <v>1255</v>
      </c>
      <c r="D184" s="11">
        <v>1042</v>
      </c>
      <c r="E184" s="11">
        <v>743</v>
      </c>
      <c r="F184" s="11">
        <v>54</v>
      </c>
      <c r="G184" s="11">
        <v>30</v>
      </c>
    </row>
    <row r="185" spans="1:7" x14ac:dyDescent="0.2">
      <c r="A185" s="8">
        <v>2019</v>
      </c>
      <c r="B185" s="6" t="s">
        <v>17</v>
      </c>
      <c r="C185" s="11">
        <v>995</v>
      </c>
      <c r="D185" s="11">
        <v>689</v>
      </c>
      <c r="E185" s="11">
        <v>722</v>
      </c>
      <c r="F185" s="11">
        <v>37</v>
      </c>
      <c r="G185" s="11">
        <v>21</v>
      </c>
    </row>
    <row r="186" spans="1:7" x14ac:dyDescent="0.2">
      <c r="A186" s="8">
        <v>2019</v>
      </c>
      <c r="B186" s="6" t="s">
        <v>18</v>
      </c>
      <c r="C186" s="11">
        <v>3286</v>
      </c>
      <c r="D186" s="11">
        <v>4083</v>
      </c>
      <c r="E186" s="11">
        <v>1564</v>
      </c>
      <c r="F186" s="11">
        <v>180</v>
      </c>
      <c r="G186" s="11">
        <v>39</v>
      </c>
    </row>
    <row r="187" spans="1:7" x14ac:dyDescent="0.2">
      <c r="A187" s="8">
        <v>2019</v>
      </c>
      <c r="B187" s="6" t="s">
        <v>19</v>
      </c>
      <c r="C187" s="11">
        <v>3006</v>
      </c>
      <c r="D187" s="11">
        <v>2399</v>
      </c>
      <c r="E187" s="11">
        <v>2579</v>
      </c>
      <c r="F187" s="11">
        <v>115</v>
      </c>
      <c r="G187" s="11">
        <v>85</v>
      </c>
    </row>
    <row r="188" spans="1:7" x14ac:dyDescent="0.2">
      <c r="A188" s="8">
        <v>2019</v>
      </c>
      <c r="B188" s="6" t="s">
        <v>20</v>
      </c>
      <c r="C188" s="11">
        <v>3591</v>
      </c>
      <c r="D188" s="11">
        <v>4113</v>
      </c>
      <c r="E188" s="11">
        <v>3365</v>
      </c>
      <c r="F188" s="11">
        <v>216</v>
      </c>
      <c r="G188" s="11">
        <v>252</v>
      </c>
    </row>
    <row r="189" spans="1:7" x14ac:dyDescent="0.2">
      <c r="A189" s="8">
        <v>2019</v>
      </c>
      <c r="B189" s="6" t="s">
        <v>33</v>
      </c>
      <c r="C189" s="11">
        <v>1046</v>
      </c>
      <c r="D189" s="11">
        <v>899</v>
      </c>
      <c r="E189" s="11">
        <v>819</v>
      </c>
      <c r="F189" s="11">
        <v>54</v>
      </c>
      <c r="G189" s="11">
        <v>21</v>
      </c>
    </row>
    <row r="190" spans="1:7" x14ac:dyDescent="0.2">
      <c r="A190" s="8">
        <v>2019</v>
      </c>
      <c r="B190" s="6" t="s">
        <v>21</v>
      </c>
      <c r="C190" s="11">
        <v>898</v>
      </c>
      <c r="D190" s="11">
        <v>1047</v>
      </c>
      <c r="E190" s="11">
        <v>626</v>
      </c>
      <c r="F190" s="11">
        <v>51</v>
      </c>
      <c r="G190" s="11">
        <v>29</v>
      </c>
    </row>
    <row r="191" spans="1:7" x14ac:dyDescent="0.2">
      <c r="A191" s="8">
        <v>2019</v>
      </c>
      <c r="B191" s="6" t="s">
        <v>22</v>
      </c>
      <c r="C191" s="11">
        <v>1748</v>
      </c>
      <c r="D191" s="11">
        <v>1822</v>
      </c>
      <c r="E191" s="11">
        <v>1036</v>
      </c>
      <c r="F191" s="11">
        <v>83</v>
      </c>
      <c r="G191" s="11">
        <v>40</v>
      </c>
    </row>
    <row r="192" spans="1:7" x14ac:dyDescent="0.2">
      <c r="A192" s="8">
        <v>2019</v>
      </c>
      <c r="B192" s="6" t="s">
        <v>23</v>
      </c>
      <c r="C192" s="11">
        <v>2014</v>
      </c>
      <c r="D192" s="11">
        <v>2206</v>
      </c>
      <c r="E192" s="11">
        <v>1124</v>
      </c>
      <c r="F192" s="11">
        <v>118</v>
      </c>
      <c r="G192" s="11">
        <v>55</v>
      </c>
    </row>
    <row r="193" spans="1:7" x14ac:dyDescent="0.2">
      <c r="A193" s="8">
        <v>2019</v>
      </c>
      <c r="B193" s="6" t="s">
        <v>24</v>
      </c>
      <c r="C193" s="11">
        <v>2136</v>
      </c>
      <c r="D193" s="11">
        <v>2876</v>
      </c>
      <c r="E193" s="11">
        <v>1447</v>
      </c>
      <c r="F193" s="11">
        <v>146</v>
      </c>
      <c r="G193" s="11">
        <v>49</v>
      </c>
    </row>
    <row r="194" spans="1:7" x14ac:dyDescent="0.2">
      <c r="A194" s="8">
        <v>2019</v>
      </c>
      <c r="B194" s="6" t="s">
        <v>25</v>
      </c>
      <c r="C194" s="11">
        <v>2225</v>
      </c>
      <c r="D194" s="11">
        <v>1591</v>
      </c>
      <c r="E194" s="11">
        <v>1141</v>
      </c>
      <c r="F194" s="11">
        <v>96</v>
      </c>
      <c r="G194" s="11">
        <v>39</v>
      </c>
    </row>
    <row r="195" spans="1:7" x14ac:dyDescent="0.2">
      <c r="A195" s="8">
        <v>2019</v>
      </c>
      <c r="B195" s="6" t="s">
        <v>26</v>
      </c>
      <c r="C195" s="11">
        <v>2337</v>
      </c>
      <c r="D195" s="11">
        <v>2989</v>
      </c>
      <c r="E195" s="11">
        <v>1455</v>
      </c>
      <c r="F195" s="11">
        <v>138</v>
      </c>
      <c r="G195" s="11">
        <v>62</v>
      </c>
    </row>
    <row r="196" spans="1:7" x14ac:dyDescent="0.2">
      <c r="A196" s="8">
        <v>2019</v>
      </c>
      <c r="B196" s="6" t="s">
        <v>27</v>
      </c>
      <c r="C196" s="11">
        <v>868</v>
      </c>
      <c r="D196" s="11">
        <v>702</v>
      </c>
      <c r="E196" s="11">
        <v>739</v>
      </c>
      <c r="F196" s="11">
        <v>36</v>
      </c>
      <c r="G196" s="11">
        <v>18</v>
      </c>
    </row>
    <row r="197" spans="1:7" x14ac:dyDescent="0.2">
      <c r="A197" s="8">
        <v>2019</v>
      </c>
      <c r="B197" s="6" t="s">
        <v>34</v>
      </c>
      <c r="C197" s="11">
        <v>4743</v>
      </c>
      <c r="D197" s="11">
        <v>5144</v>
      </c>
      <c r="E197" s="11">
        <v>2452</v>
      </c>
      <c r="F197" s="11">
        <v>260</v>
      </c>
      <c r="G197" s="11">
        <v>154</v>
      </c>
    </row>
    <row r="198" spans="1:7" x14ac:dyDescent="0.2">
      <c r="A198" s="8">
        <v>2019</v>
      </c>
      <c r="B198" s="6" t="s">
        <v>28</v>
      </c>
      <c r="C198" s="11">
        <v>1416</v>
      </c>
      <c r="D198" s="11">
        <v>1943</v>
      </c>
      <c r="E198" s="11">
        <v>1052</v>
      </c>
      <c r="F198" s="11">
        <v>79</v>
      </c>
      <c r="G198" s="11">
        <v>29</v>
      </c>
    </row>
    <row r="199" spans="1:7" x14ac:dyDescent="0.2">
      <c r="A199" s="8">
        <v>2019</v>
      </c>
      <c r="B199" s="6" t="s">
        <v>29</v>
      </c>
      <c r="C199" s="11">
        <v>1176</v>
      </c>
      <c r="D199" s="11">
        <v>974</v>
      </c>
      <c r="E199" s="11">
        <v>758</v>
      </c>
      <c r="F199" s="11">
        <v>50</v>
      </c>
      <c r="G199" s="11">
        <v>31</v>
      </c>
    </row>
    <row r="200" spans="1:7" x14ac:dyDescent="0.2">
      <c r="A200" s="9">
        <v>2018</v>
      </c>
      <c r="B200" s="7" t="s">
        <v>2</v>
      </c>
      <c r="C200" s="10">
        <v>77563</v>
      </c>
      <c r="D200" s="10">
        <v>89562</v>
      </c>
      <c r="E200" s="10">
        <v>50019</v>
      </c>
      <c r="F200" s="10">
        <v>4162</v>
      </c>
      <c r="G200" s="10">
        <v>2003</v>
      </c>
    </row>
    <row r="201" spans="1:7" x14ac:dyDescent="0.2">
      <c r="A201" s="8">
        <v>2018</v>
      </c>
      <c r="B201" s="6" t="s">
        <v>3</v>
      </c>
      <c r="C201" s="11">
        <v>863</v>
      </c>
      <c r="D201" s="11">
        <v>966</v>
      </c>
      <c r="E201" s="11">
        <v>557</v>
      </c>
      <c r="F201" s="11">
        <v>50</v>
      </c>
      <c r="G201" s="11">
        <v>15</v>
      </c>
    </row>
    <row r="202" spans="1:7" x14ac:dyDescent="0.2">
      <c r="A202" s="8">
        <v>2018</v>
      </c>
      <c r="B202" s="6" t="s">
        <v>4</v>
      </c>
      <c r="C202" s="11">
        <v>1639</v>
      </c>
      <c r="D202" s="11">
        <v>2153</v>
      </c>
      <c r="E202" s="11">
        <v>1069</v>
      </c>
      <c r="F202" s="11">
        <v>99</v>
      </c>
      <c r="G202" s="11">
        <v>41</v>
      </c>
    </row>
    <row r="203" spans="1:7" x14ac:dyDescent="0.2">
      <c r="A203" s="8">
        <v>2018</v>
      </c>
      <c r="B203" s="6" t="s">
        <v>5</v>
      </c>
      <c r="C203" s="11">
        <v>631</v>
      </c>
      <c r="D203" s="11">
        <v>695</v>
      </c>
      <c r="E203" s="11">
        <v>420</v>
      </c>
      <c r="F203" s="11">
        <v>38</v>
      </c>
      <c r="G203" s="11">
        <v>31</v>
      </c>
    </row>
    <row r="204" spans="1:7" x14ac:dyDescent="0.2">
      <c r="A204" s="8">
        <v>2018</v>
      </c>
      <c r="B204" s="6" t="s">
        <v>6</v>
      </c>
      <c r="C204" s="11">
        <v>811</v>
      </c>
      <c r="D204" s="11">
        <v>790</v>
      </c>
      <c r="E204" s="11">
        <v>539</v>
      </c>
      <c r="F204" s="11">
        <v>40</v>
      </c>
      <c r="G204" s="11">
        <v>28</v>
      </c>
    </row>
    <row r="205" spans="1:7" x14ac:dyDescent="0.2">
      <c r="A205" s="8">
        <v>2018</v>
      </c>
      <c r="B205" s="6" t="s">
        <v>31</v>
      </c>
      <c r="C205" s="11">
        <v>1914</v>
      </c>
      <c r="D205" s="11">
        <v>2915</v>
      </c>
      <c r="E205" s="11">
        <v>1215</v>
      </c>
      <c r="F205" s="11">
        <v>148</v>
      </c>
      <c r="G205" s="11">
        <v>53</v>
      </c>
    </row>
    <row r="206" spans="1:7" x14ac:dyDescent="0.2">
      <c r="A206" s="8">
        <v>2018</v>
      </c>
      <c r="B206" s="6" t="s">
        <v>7</v>
      </c>
      <c r="C206" s="11">
        <v>594</v>
      </c>
      <c r="D206" s="11">
        <v>649</v>
      </c>
      <c r="E206" s="11">
        <v>618</v>
      </c>
      <c r="F206" s="11">
        <v>33</v>
      </c>
      <c r="G206" s="11">
        <v>13</v>
      </c>
    </row>
    <row r="207" spans="1:7" x14ac:dyDescent="0.2">
      <c r="A207" s="8">
        <v>2018</v>
      </c>
      <c r="B207" s="6" t="s">
        <v>8</v>
      </c>
      <c r="C207" s="11">
        <v>3122</v>
      </c>
      <c r="D207" s="11">
        <v>2260</v>
      </c>
      <c r="E207" s="11">
        <v>1589</v>
      </c>
      <c r="F207" s="11">
        <v>146</v>
      </c>
      <c r="G207" s="11">
        <v>94</v>
      </c>
    </row>
    <row r="208" spans="1:7" x14ac:dyDescent="0.2">
      <c r="A208" s="8">
        <v>2018</v>
      </c>
      <c r="B208" s="6" t="s">
        <v>9</v>
      </c>
      <c r="C208" s="11">
        <v>2148</v>
      </c>
      <c r="D208" s="11">
        <v>2915</v>
      </c>
      <c r="E208" s="11">
        <v>1619</v>
      </c>
      <c r="F208" s="11">
        <v>141</v>
      </c>
      <c r="G208" s="11">
        <v>97</v>
      </c>
    </row>
    <row r="209" spans="1:7" x14ac:dyDescent="0.2">
      <c r="A209" s="8">
        <v>2018</v>
      </c>
      <c r="B209" s="6" t="s">
        <v>30</v>
      </c>
      <c r="C209" s="11">
        <v>9222</v>
      </c>
      <c r="D209" s="11">
        <v>15632</v>
      </c>
      <c r="E209" s="11">
        <v>5125</v>
      </c>
      <c r="F209" s="11">
        <v>650</v>
      </c>
      <c r="G209" s="11">
        <v>102</v>
      </c>
    </row>
    <row r="210" spans="1:7" x14ac:dyDescent="0.2">
      <c r="A210" s="8">
        <v>2018</v>
      </c>
      <c r="B210" s="6" t="s">
        <v>10</v>
      </c>
      <c r="C210" s="11">
        <v>1296</v>
      </c>
      <c r="D210" s="11">
        <v>1542</v>
      </c>
      <c r="E210" s="11">
        <v>656</v>
      </c>
      <c r="F210" s="11">
        <v>65</v>
      </c>
      <c r="G210" s="11">
        <v>44</v>
      </c>
    </row>
    <row r="211" spans="1:7" x14ac:dyDescent="0.2">
      <c r="A211" s="8">
        <v>2018</v>
      </c>
      <c r="B211" s="6" t="s">
        <v>11</v>
      </c>
      <c r="C211" s="11">
        <v>2974</v>
      </c>
      <c r="D211" s="11">
        <v>3657</v>
      </c>
      <c r="E211" s="11">
        <v>2122</v>
      </c>
      <c r="F211" s="11">
        <v>174</v>
      </c>
      <c r="G211" s="11">
        <v>85</v>
      </c>
    </row>
    <row r="212" spans="1:7" x14ac:dyDescent="0.2">
      <c r="A212" s="8">
        <v>2018</v>
      </c>
      <c r="B212" s="6" t="s">
        <v>12</v>
      </c>
      <c r="C212" s="11">
        <v>2576</v>
      </c>
      <c r="D212" s="11">
        <v>2075</v>
      </c>
      <c r="E212" s="11">
        <v>2260</v>
      </c>
      <c r="F212" s="11">
        <v>110</v>
      </c>
      <c r="G212" s="11">
        <v>67</v>
      </c>
    </row>
    <row r="213" spans="1:7" x14ac:dyDescent="0.2">
      <c r="A213" s="8">
        <v>2018</v>
      </c>
      <c r="B213" s="6" t="s">
        <v>13</v>
      </c>
      <c r="C213" s="11">
        <v>1982</v>
      </c>
      <c r="D213" s="11">
        <v>1367</v>
      </c>
      <c r="E213" s="11">
        <v>1355</v>
      </c>
      <c r="F213" s="11">
        <v>62</v>
      </c>
      <c r="G213" s="11">
        <v>77</v>
      </c>
    </row>
    <row r="214" spans="1:7" x14ac:dyDescent="0.2">
      <c r="A214" s="8">
        <v>2018</v>
      </c>
      <c r="B214" s="6" t="s">
        <v>14</v>
      </c>
      <c r="C214" s="11">
        <v>4300</v>
      </c>
      <c r="D214" s="11">
        <v>6460</v>
      </c>
      <c r="E214" s="11">
        <v>2975</v>
      </c>
      <c r="F214" s="11">
        <v>263</v>
      </c>
      <c r="G214" s="11">
        <v>109</v>
      </c>
    </row>
    <row r="215" spans="1:7" x14ac:dyDescent="0.2">
      <c r="A215" s="8">
        <v>2018</v>
      </c>
      <c r="B215" s="6" t="s">
        <v>15</v>
      </c>
      <c r="C215" s="11">
        <v>7476</v>
      </c>
      <c r="D215" s="11">
        <v>8356</v>
      </c>
      <c r="E215" s="11">
        <v>4307</v>
      </c>
      <c r="F215" s="11">
        <v>324</v>
      </c>
      <c r="G215" s="11">
        <v>217</v>
      </c>
    </row>
    <row r="216" spans="1:7" x14ac:dyDescent="0.2">
      <c r="A216" s="8">
        <v>2018</v>
      </c>
      <c r="B216" s="6" t="s">
        <v>32</v>
      </c>
      <c r="C216" s="11">
        <v>2949</v>
      </c>
      <c r="D216" s="11">
        <v>2648</v>
      </c>
      <c r="E216" s="11">
        <v>1573</v>
      </c>
      <c r="F216" s="11">
        <v>122</v>
      </c>
      <c r="G216" s="11">
        <v>84</v>
      </c>
    </row>
    <row r="217" spans="1:7" x14ac:dyDescent="0.2">
      <c r="A217" s="8">
        <v>2018</v>
      </c>
      <c r="B217" s="6" t="s">
        <v>16</v>
      </c>
      <c r="C217" s="11">
        <v>1308</v>
      </c>
      <c r="D217" s="11">
        <v>1047</v>
      </c>
      <c r="E217" s="11">
        <v>800</v>
      </c>
      <c r="F217" s="11">
        <v>60</v>
      </c>
      <c r="G217" s="11">
        <v>30</v>
      </c>
    </row>
    <row r="218" spans="1:7" x14ac:dyDescent="0.2">
      <c r="A218" s="8">
        <v>2018</v>
      </c>
      <c r="B218" s="6" t="s">
        <v>17</v>
      </c>
      <c r="C218" s="11">
        <v>1043</v>
      </c>
      <c r="D218" s="11">
        <v>714</v>
      </c>
      <c r="E218" s="11">
        <v>752</v>
      </c>
      <c r="F218" s="11">
        <v>38</v>
      </c>
      <c r="G218" s="11">
        <v>24</v>
      </c>
    </row>
    <row r="219" spans="1:7" x14ac:dyDescent="0.2">
      <c r="A219" s="8">
        <v>2018</v>
      </c>
      <c r="B219" s="6" t="s">
        <v>18</v>
      </c>
      <c r="C219" s="11">
        <v>3295</v>
      </c>
      <c r="D219" s="11">
        <v>4077</v>
      </c>
      <c r="E219" s="11">
        <v>1536</v>
      </c>
      <c r="F219" s="11">
        <v>172</v>
      </c>
      <c r="G219" s="11">
        <v>37</v>
      </c>
    </row>
    <row r="220" spans="1:7" x14ac:dyDescent="0.2">
      <c r="A220" s="8">
        <v>2018</v>
      </c>
      <c r="B220" s="6" t="s">
        <v>19</v>
      </c>
      <c r="C220" s="11">
        <v>3128</v>
      </c>
      <c r="D220" s="11">
        <v>2352</v>
      </c>
      <c r="E220" s="11">
        <v>3020</v>
      </c>
      <c r="F220" s="11">
        <v>116</v>
      </c>
      <c r="G220" s="11">
        <v>85</v>
      </c>
    </row>
    <row r="221" spans="1:7" x14ac:dyDescent="0.2">
      <c r="A221" s="8">
        <v>2018</v>
      </c>
      <c r="B221" s="6" t="s">
        <v>20</v>
      </c>
      <c r="C221" s="11">
        <v>3599</v>
      </c>
      <c r="D221" s="11">
        <v>4012</v>
      </c>
      <c r="E221" s="11">
        <v>3439</v>
      </c>
      <c r="F221" s="11">
        <v>234</v>
      </c>
      <c r="G221" s="11">
        <v>183</v>
      </c>
    </row>
    <row r="222" spans="1:7" x14ac:dyDescent="0.2">
      <c r="A222" s="8">
        <v>2018</v>
      </c>
      <c r="B222" s="6" t="s">
        <v>33</v>
      </c>
      <c r="C222" s="11">
        <v>1035</v>
      </c>
      <c r="D222" s="11">
        <v>881</v>
      </c>
      <c r="E222" s="11">
        <v>779</v>
      </c>
      <c r="F222" s="11">
        <v>43</v>
      </c>
      <c r="G222" s="11">
        <v>19</v>
      </c>
    </row>
    <row r="223" spans="1:7" x14ac:dyDescent="0.2">
      <c r="A223" s="8">
        <v>2018</v>
      </c>
      <c r="B223" s="6" t="s">
        <v>21</v>
      </c>
      <c r="C223" s="11">
        <v>907</v>
      </c>
      <c r="D223" s="11">
        <v>1030</v>
      </c>
      <c r="E223" s="11">
        <v>581</v>
      </c>
      <c r="F223" s="11">
        <v>49</v>
      </c>
      <c r="G223" s="11">
        <v>28</v>
      </c>
    </row>
    <row r="224" spans="1:7" x14ac:dyDescent="0.2">
      <c r="A224" s="8">
        <v>2018</v>
      </c>
      <c r="B224" s="6" t="s">
        <v>22</v>
      </c>
      <c r="C224" s="11">
        <v>1817</v>
      </c>
      <c r="D224" s="11">
        <v>2021</v>
      </c>
      <c r="E224" s="11">
        <v>1058</v>
      </c>
      <c r="F224" s="11">
        <v>82</v>
      </c>
      <c r="G224" s="11">
        <v>43</v>
      </c>
    </row>
    <row r="225" spans="1:7" x14ac:dyDescent="0.2">
      <c r="A225" s="8">
        <v>2018</v>
      </c>
      <c r="B225" s="6" t="s">
        <v>23</v>
      </c>
      <c r="C225" s="11">
        <v>2009</v>
      </c>
      <c r="D225" s="11">
        <v>2382</v>
      </c>
      <c r="E225" s="11">
        <v>1129</v>
      </c>
      <c r="F225" s="11">
        <v>121</v>
      </c>
      <c r="G225" s="11">
        <v>56</v>
      </c>
    </row>
    <row r="226" spans="1:7" x14ac:dyDescent="0.2">
      <c r="A226" s="8">
        <v>2018</v>
      </c>
      <c r="B226" s="6" t="s">
        <v>24</v>
      </c>
      <c r="C226" s="11">
        <v>2179</v>
      </c>
      <c r="D226" s="11">
        <v>2894</v>
      </c>
      <c r="E226" s="11">
        <v>1361</v>
      </c>
      <c r="F226" s="11">
        <v>139</v>
      </c>
      <c r="G226" s="11">
        <v>38</v>
      </c>
    </row>
    <row r="227" spans="1:7" x14ac:dyDescent="0.2">
      <c r="A227" s="8">
        <v>2018</v>
      </c>
      <c r="B227" s="6" t="s">
        <v>25</v>
      </c>
      <c r="C227" s="11">
        <v>2224</v>
      </c>
      <c r="D227" s="11">
        <v>1583</v>
      </c>
      <c r="E227" s="11">
        <v>1252</v>
      </c>
      <c r="F227" s="11">
        <v>93</v>
      </c>
      <c r="G227" s="11">
        <v>38</v>
      </c>
    </row>
    <row r="228" spans="1:7" x14ac:dyDescent="0.2">
      <c r="A228" s="8">
        <v>2018</v>
      </c>
      <c r="B228" s="6" t="s">
        <v>26</v>
      </c>
      <c r="C228" s="11">
        <v>2322</v>
      </c>
      <c r="D228" s="11">
        <v>2977</v>
      </c>
      <c r="E228" s="11">
        <v>1499</v>
      </c>
      <c r="F228" s="11">
        <v>129</v>
      </c>
      <c r="G228" s="11">
        <v>62</v>
      </c>
    </row>
    <row r="229" spans="1:7" x14ac:dyDescent="0.2">
      <c r="A229" s="8">
        <v>2018</v>
      </c>
      <c r="B229" s="6" t="s">
        <v>27</v>
      </c>
      <c r="C229" s="11">
        <v>844</v>
      </c>
      <c r="D229" s="11">
        <v>714</v>
      </c>
      <c r="E229" s="11">
        <v>741</v>
      </c>
      <c r="F229" s="11">
        <v>37</v>
      </c>
      <c r="G229" s="11">
        <v>18</v>
      </c>
    </row>
    <row r="230" spans="1:7" x14ac:dyDescent="0.2">
      <c r="A230" s="8">
        <v>2018</v>
      </c>
      <c r="B230" s="6" t="s">
        <v>34</v>
      </c>
      <c r="C230" s="11">
        <v>4805</v>
      </c>
      <c r="D230" s="11">
        <v>4999</v>
      </c>
      <c r="E230" s="11">
        <v>2352</v>
      </c>
      <c r="F230" s="11">
        <v>262</v>
      </c>
      <c r="G230" s="11">
        <v>130</v>
      </c>
    </row>
    <row r="231" spans="1:7" x14ac:dyDescent="0.2">
      <c r="A231" s="8">
        <v>2018</v>
      </c>
      <c r="B231" s="6" t="s">
        <v>28</v>
      </c>
      <c r="C231" s="11">
        <v>1364</v>
      </c>
      <c r="D231" s="11">
        <v>1800</v>
      </c>
      <c r="E231" s="11">
        <v>996</v>
      </c>
      <c r="F231" s="11">
        <v>74</v>
      </c>
      <c r="G231" s="11">
        <v>25</v>
      </c>
    </row>
    <row r="232" spans="1:7" x14ac:dyDescent="0.2">
      <c r="A232" s="8">
        <v>2018</v>
      </c>
      <c r="B232" s="6" t="s">
        <v>29</v>
      </c>
      <c r="C232" s="11">
        <v>1187</v>
      </c>
      <c r="D232" s="11">
        <v>999</v>
      </c>
      <c r="E232" s="11">
        <v>725</v>
      </c>
      <c r="F232" s="11">
        <v>48</v>
      </c>
      <c r="G232" s="11">
        <v>30</v>
      </c>
    </row>
    <row r="233" spans="1:7" x14ac:dyDescent="0.2">
      <c r="A233" s="9">
        <v>2017</v>
      </c>
      <c r="B233" s="7" t="s">
        <v>2</v>
      </c>
      <c r="C233" s="10">
        <v>76201</v>
      </c>
      <c r="D233" s="10">
        <v>89085</v>
      </c>
      <c r="E233" s="10">
        <v>50130</v>
      </c>
      <c r="F233" s="10">
        <v>4169</v>
      </c>
      <c r="G233" s="10">
        <v>2130</v>
      </c>
    </row>
    <row r="234" spans="1:7" x14ac:dyDescent="0.2">
      <c r="A234" s="8">
        <v>2017</v>
      </c>
      <c r="B234" s="6" t="s">
        <v>3</v>
      </c>
      <c r="C234" s="11">
        <v>843</v>
      </c>
      <c r="D234" s="11">
        <v>875</v>
      </c>
      <c r="E234" s="11">
        <v>472</v>
      </c>
      <c r="F234" s="11">
        <v>42</v>
      </c>
      <c r="G234" s="11">
        <v>13</v>
      </c>
    </row>
    <row r="235" spans="1:7" x14ac:dyDescent="0.2">
      <c r="A235" s="8">
        <v>2017</v>
      </c>
      <c r="B235" s="6" t="s">
        <v>4</v>
      </c>
      <c r="C235" s="11">
        <v>1627</v>
      </c>
      <c r="D235" s="11">
        <v>2183</v>
      </c>
      <c r="E235" s="11">
        <v>1036</v>
      </c>
      <c r="F235" s="11">
        <v>105</v>
      </c>
      <c r="G235" s="11">
        <v>39</v>
      </c>
    </row>
    <row r="236" spans="1:7" x14ac:dyDescent="0.2">
      <c r="A236" s="8">
        <v>2017</v>
      </c>
      <c r="B236" s="6" t="s">
        <v>5</v>
      </c>
      <c r="C236" s="11">
        <v>628</v>
      </c>
      <c r="D236" s="11">
        <v>690</v>
      </c>
      <c r="E236" s="11">
        <v>435</v>
      </c>
      <c r="F236" s="11">
        <v>38</v>
      </c>
      <c r="G236" s="11">
        <v>32</v>
      </c>
    </row>
    <row r="237" spans="1:7" x14ac:dyDescent="0.2">
      <c r="A237" s="8">
        <v>2017</v>
      </c>
      <c r="B237" s="6" t="s">
        <v>6</v>
      </c>
      <c r="C237" s="11">
        <v>804</v>
      </c>
      <c r="D237" s="11">
        <v>764</v>
      </c>
      <c r="E237" s="11">
        <v>549</v>
      </c>
      <c r="F237" s="11">
        <v>45</v>
      </c>
      <c r="G237" s="11">
        <v>30</v>
      </c>
    </row>
    <row r="238" spans="1:7" x14ac:dyDescent="0.2">
      <c r="A238" s="8">
        <v>2017</v>
      </c>
      <c r="B238" s="6" t="s">
        <v>31</v>
      </c>
      <c r="C238" s="11">
        <v>1902</v>
      </c>
      <c r="D238" s="11">
        <v>2879</v>
      </c>
      <c r="E238" s="11">
        <v>1255</v>
      </c>
      <c r="F238" s="11">
        <v>146</v>
      </c>
      <c r="G238" s="11">
        <v>46</v>
      </c>
    </row>
    <row r="239" spans="1:7" x14ac:dyDescent="0.2">
      <c r="A239" s="8">
        <v>2017</v>
      </c>
      <c r="B239" s="6" t="s">
        <v>7</v>
      </c>
      <c r="C239" s="11">
        <v>628</v>
      </c>
      <c r="D239" s="11">
        <v>646</v>
      </c>
      <c r="E239" s="11">
        <v>583</v>
      </c>
      <c r="F239" s="11">
        <v>36</v>
      </c>
      <c r="G239" s="11">
        <v>12</v>
      </c>
    </row>
    <row r="240" spans="1:7" x14ac:dyDescent="0.2">
      <c r="A240" s="8">
        <v>2017</v>
      </c>
      <c r="B240" s="6" t="s">
        <v>8</v>
      </c>
      <c r="C240" s="11">
        <v>3020</v>
      </c>
      <c r="D240" s="11">
        <v>2412</v>
      </c>
      <c r="E240" s="11">
        <v>1561</v>
      </c>
      <c r="F240" s="11">
        <v>142</v>
      </c>
      <c r="G240" s="11">
        <v>94</v>
      </c>
    </row>
    <row r="241" spans="1:7" x14ac:dyDescent="0.2">
      <c r="A241" s="8">
        <v>2017</v>
      </c>
      <c r="B241" s="6" t="s">
        <v>9</v>
      </c>
      <c r="C241" s="11">
        <v>2003</v>
      </c>
      <c r="D241" s="11">
        <v>2905</v>
      </c>
      <c r="E241" s="11">
        <v>1620</v>
      </c>
      <c r="F241" s="11">
        <v>133</v>
      </c>
      <c r="G241" s="11">
        <v>97</v>
      </c>
    </row>
    <row r="242" spans="1:7" x14ac:dyDescent="0.2">
      <c r="A242" s="8">
        <v>2017</v>
      </c>
      <c r="B242" s="6" t="s">
        <v>30</v>
      </c>
      <c r="C242" s="11">
        <v>9031</v>
      </c>
      <c r="D242" s="11">
        <v>15457</v>
      </c>
      <c r="E242" s="11">
        <v>5304</v>
      </c>
      <c r="F242" s="11">
        <v>648</v>
      </c>
      <c r="G242" s="11">
        <v>102</v>
      </c>
    </row>
    <row r="243" spans="1:7" x14ac:dyDescent="0.2">
      <c r="A243" s="8">
        <v>2017</v>
      </c>
      <c r="B243" s="6" t="s">
        <v>10</v>
      </c>
      <c r="C243" s="11">
        <v>1261</v>
      </c>
      <c r="D243" s="11">
        <v>1545</v>
      </c>
      <c r="E243" s="11">
        <v>654</v>
      </c>
      <c r="F243" s="11">
        <v>64</v>
      </c>
      <c r="G243" s="11">
        <v>44</v>
      </c>
    </row>
    <row r="244" spans="1:7" x14ac:dyDescent="0.2">
      <c r="A244" s="8">
        <v>2017</v>
      </c>
      <c r="B244" s="6" t="s">
        <v>11</v>
      </c>
      <c r="C244" s="11">
        <v>2810</v>
      </c>
      <c r="D244" s="11">
        <v>3335</v>
      </c>
      <c r="E244" s="11">
        <v>2067</v>
      </c>
      <c r="F244" s="11">
        <v>168</v>
      </c>
      <c r="G244" s="11">
        <v>82</v>
      </c>
    </row>
    <row r="245" spans="1:7" x14ac:dyDescent="0.2">
      <c r="A245" s="8">
        <v>2017</v>
      </c>
      <c r="B245" s="6" t="s">
        <v>12</v>
      </c>
      <c r="C245" s="11">
        <v>2486</v>
      </c>
      <c r="D245" s="11">
        <v>1977</v>
      </c>
      <c r="E245" s="11">
        <v>2029</v>
      </c>
      <c r="F245" s="11">
        <v>109</v>
      </c>
      <c r="G245" s="11">
        <v>65</v>
      </c>
    </row>
    <row r="246" spans="1:7" x14ac:dyDescent="0.2">
      <c r="A246" s="8">
        <v>2017</v>
      </c>
      <c r="B246" s="6" t="s">
        <v>13</v>
      </c>
      <c r="C246" s="11">
        <v>1971</v>
      </c>
      <c r="D246" s="11">
        <v>1399</v>
      </c>
      <c r="E246" s="11">
        <v>1422</v>
      </c>
      <c r="F246" s="11">
        <v>63</v>
      </c>
      <c r="G246" s="11">
        <v>72</v>
      </c>
    </row>
    <row r="247" spans="1:7" x14ac:dyDescent="0.2">
      <c r="A247" s="8">
        <v>2017</v>
      </c>
      <c r="B247" s="6" t="s">
        <v>14</v>
      </c>
      <c r="C247" s="11">
        <v>4273</v>
      </c>
      <c r="D247" s="11">
        <v>6487</v>
      </c>
      <c r="E247" s="11">
        <v>3045</v>
      </c>
      <c r="F247" s="11">
        <v>268</v>
      </c>
      <c r="G247" s="11">
        <v>109</v>
      </c>
    </row>
    <row r="248" spans="1:7" x14ac:dyDescent="0.2">
      <c r="A248" s="8">
        <v>2017</v>
      </c>
      <c r="B248" s="6" t="s">
        <v>15</v>
      </c>
      <c r="C248" s="11">
        <v>7517</v>
      </c>
      <c r="D248" s="11">
        <v>8407</v>
      </c>
      <c r="E248" s="11">
        <v>4289</v>
      </c>
      <c r="F248" s="11">
        <v>326</v>
      </c>
      <c r="G248" s="11">
        <v>218</v>
      </c>
    </row>
    <row r="249" spans="1:7" x14ac:dyDescent="0.2">
      <c r="A249" s="8">
        <v>2017</v>
      </c>
      <c r="B249" s="6" t="s">
        <v>32</v>
      </c>
      <c r="C249" s="11">
        <v>2894</v>
      </c>
      <c r="D249" s="11">
        <v>2615</v>
      </c>
      <c r="E249" s="11">
        <v>1490</v>
      </c>
      <c r="F249" s="11">
        <v>124</v>
      </c>
      <c r="G249" s="11">
        <v>90</v>
      </c>
    </row>
    <row r="250" spans="1:7" x14ac:dyDescent="0.2">
      <c r="A250" s="8">
        <v>2017</v>
      </c>
      <c r="B250" s="6" t="s">
        <v>16</v>
      </c>
      <c r="C250" s="11">
        <v>1230</v>
      </c>
      <c r="D250" s="11">
        <v>1018</v>
      </c>
      <c r="E250" s="11">
        <v>785</v>
      </c>
      <c r="F250" s="11">
        <v>49</v>
      </c>
      <c r="G250" s="11">
        <v>28</v>
      </c>
    </row>
    <row r="251" spans="1:7" x14ac:dyDescent="0.2">
      <c r="A251" s="8">
        <v>2017</v>
      </c>
      <c r="B251" s="6" t="s">
        <v>17</v>
      </c>
      <c r="C251" s="11">
        <v>1022</v>
      </c>
      <c r="D251" s="11">
        <v>704</v>
      </c>
      <c r="E251" s="11">
        <v>696</v>
      </c>
      <c r="F251" s="11">
        <v>37</v>
      </c>
      <c r="G251" s="11">
        <v>24</v>
      </c>
    </row>
    <row r="252" spans="1:7" x14ac:dyDescent="0.2">
      <c r="A252" s="8">
        <v>2017</v>
      </c>
      <c r="B252" s="6" t="s">
        <v>18</v>
      </c>
      <c r="C252" s="11">
        <v>3073</v>
      </c>
      <c r="D252" s="11">
        <v>4163</v>
      </c>
      <c r="E252" s="11">
        <v>1677</v>
      </c>
      <c r="F252" s="11">
        <v>169</v>
      </c>
      <c r="G252" s="11">
        <v>34</v>
      </c>
    </row>
    <row r="253" spans="1:7" x14ac:dyDescent="0.2">
      <c r="A253" s="8">
        <v>2017</v>
      </c>
      <c r="B253" s="6" t="s">
        <v>19</v>
      </c>
      <c r="C253" s="11">
        <v>3091</v>
      </c>
      <c r="D253" s="11">
        <v>2355</v>
      </c>
      <c r="E253" s="11">
        <v>2963</v>
      </c>
      <c r="F253" s="11">
        <v>110</v>
      </c>
      <c r="G253" s="11">
        <v>84</v>
      </c>
    </row>
    <row r="254" spans="1:7" x14ac:dyDescent="0.2">
      <c r="A254" s="8">
        <v>2017</v>
      </c>
      <c r="B254" s="6" t="s">
        <v>20</v>
      </c>
      <c r="C254" s="11">
        <v>3660</v>
      </c>
      <c r="D254" s="11">
        <v>4098</v>
      </c>
      <c r="E254" s="11">
        <v>3534</v>
      </c>
      <c r="F254" s="11">
        <v>236</v>
      </c>
      <c r="G254" s="11">
        <v>196</v>
      </c>
    </row>
    <row r="255" spans="1:7" x14ac:dyDescent="0.2">
      <c r="A255" s="8">
        <v>2017</v>
      </c>
      <c r="B255" s="6" t="s">
        <v>33</v>
      </c>
      <c r="C255" s="11">
        <v>1028</v>
      </c>
      <c r="D255" s="11">
        <v>895</v>
      </c>
      <c r="E255" s="11">
        <v>842</v>
      </c>
      <c r="F255" s="11">
        <v>43</v>
      </c>
      <c r="G255" s="11">
        <v>19</v>
      </c>
    </row>
    <row r="256" spans="1:7" x14ac:dyDescent="0.2">
      <c r="A256" s="8">
        <v>2017</v>
      </c>
      <c r="B256" s="6" t="s">
        <v>21</v>
      </c>
      <c r="C256" s="11">
        <v>889</v>
      </c>
      <c r="D256" s="11">
        <v>983</v>
      </c>
      <c r="E256" s="11">
        <v>573</v>
      </c>
      <c r="F256" s="11">
        <v>50</v>
      </c>
      <c r="G256" s="11">
        <v>27</v>
      </c>
    </row>
    <row r="257" spans="1:7" x14ac:dyDescent="0.2">
      <c r="A257" s="8">
        <v>2017</v>
      </c>
      <c r="B257" s="6" t="s">
        <v>22</v>
      </c>
      <c r="C257" s="11">
        <v>1753</v>
      </c>
      <c r="D257" s="11">
        <v>1940</v>
      </c>
      <c r="E257" s="11">
        <v>992</v>
      </c>
      <c r="F257" s="11">
        <v>82</v>
      </c>
      <c r="G257" s="11">
        <v>44</v>
      </c>
    </row>
    <row r="258" spans="1:7" x14ac:dyDescent="0.2">
      <c r="A258" s="8">
        <v>2017</v>
      </c>
      <c r="B258" s="6" t="s">
        <v>23</v>
      </c>
      <c r="C258" s="11">
        <v>1960</v>
      </c>
      <c r="D258" s="11">
        <v>2375</v>
      </c>
      <c r="E258" s="11">
        <v>1175</v>
      </c>
      <c r="F258" s="11">
        <v>131</v>
      </c>
      <c r="G258" s="11">
        <v>57</v>
      </c>
    </row>
    <row r="259" spans="1:7" x14ac:dyDescent="0.2">
      <c r="A259" s="8">
        <v>2017</v>
      </c>
      <c r="B259" s="6" t="s">
        <v>24</v>
      </c>
      <c r="C259" s="11">
        <v>2106</v>
      </c>
      <c r="D259" s="11">
        <v>2922</v>
      </c>
      <c r="E259" s="11">
        <v>1369</v>
      </c>
      <c r="F259" s="11">
        <v>152</v>
      </c>
      <c r="G259" s="11">
        <v>39</v>
      </c>
    </row>
    <row r="260" spans="1:7" x14ac:dyDescent="0.2">
      <c r="A260" s="8">
        <v>2017</v>
      </c>
      <c r="B260" s="6" t="s">
        <v>25</v>
      </c>
      <c r="C260" s="11">
        <v>2173</v>
      </c>
      <c r="D260" s="11">
        <v>1554</v>
      </c>
      <c r="E260" s="11">
        <v>1286</v>
      </c>
      <c r="F260" s="11">
        <v>91</v>
      </c>
      <c r="G260" s="11">
        <v>37</v>
      </c>
    </row>
    <row r="261" spans="1:7" x14ac:dyDescent="0.2">
      <c r="A261" s="8">
        <v>2017</v>
      </c>
      <c r="B261" s="6" t="s">
        <v>26</v>
      </c>
      <c r="C261" s="11">
        <v>2284</v>
      </c>
      <c r="D261" s="11">
        <v>2993</v>
      </c>
      <c r="E261" s="11">
        <v>1546</v>
      </c>
      <c r="F261" s="11">
        <v>138</v>
      </c>
      <c r="G261" s="11">
        <v>66</v>
      </c>
    </row>
    <row r="262" spans="1:7" x14ac:dyDescent="0.2">
      <c r="A262" s="8">
        <v>2017</v>
      </c>
      <c r="B262" s="6" t="s">
        <v>27</v>
      </c>
      <c r="C262" s="11">
        <v>828</v>
      </c>
      <c r="D262" s="11">
        <v>684</v>
      </c>
      <c r="E262" s="11">
        <v>716</v>
      </c>
      <c r="F262" s="11">
        <v>36</v>
      </c>
      <c r="G262" s="11">
        <v>70</v>
      </c>
    </row>
    <row r="263" spans="1:7" x14ac:dyDescent="0.2">
      <c r="A263" s="8">
        <v>2017</v>
      </c>
      <c r="B263" s="6" t="s">
        <v>34</v>
      </c>
      <c r="C263" s="11">
        <v>4827</v>
      </c>
      <c r="D263" s="11">
        <v>5043</v>
      </c>
      <c r="E263" s="11">
        <v>2360</v>
      </c>
      <c r="F263" s="11">
        <v>263</v>
      </c>
      <c r="G263" s="11">
        <v>152</v>
      </c>
    </row>
    <row r="264" spans="1:7" x14ac:dyDescent="0.2">
      <c r="A264" s="8">
        <v>2017</v>
      </c>
      <c r="B264" s="6" t="s">
        <v>28</v>
      </c>
      <c r="C264" s="11">
        <v>1371</v>
      </c>
      <c r="D264" s="11">
        <v>1782</v>
      </c>
      <c r="E264" s="11">
        <v>986</v>
      </c>
      <c r="F264" s="11">
        <v>75</v>
      </c>
      <c r="G264" s="11">
        <v>24</v>
      </c>
    </row>
    <row r="265" spans="1:7" x14ac:dyDescent="0.2">
      <c r="A265" s="8">
        <v>2017</v>
      </c>
      <c r="B265" s="6" t="s">
        <v>29</v>
      </c>
      <c r="C265" s="11">
        <v>1208</v>
      </c>
      <c r="D265" s="11">
        <v>1000</v>
      </c>
      <c r="E265" s="11">
        <v>819</v>
      </c>
      <c r="F265" s="11">
        <v>50</v>
      </c>
      <c r="G265" s="11">
        <v>84</v>
      </c>
    </row>
    <row r="266" spans="1:7" x14ac:dyDescent="0.2">
      <c r="A266" s="9">
        <v>2016</v>
      </c>
      <c r="B266" s="7" t="s">
        <v>2</v>
      </c>
      <c r="C266" s="10">
        <v>76416</v>
      </c>
      <c r="D266" s="10">
        <v>89155</v>
      </c>
      <c r="E266" s="10">
        <v>51721</v>
      </c>
      <c r="F266" s="10">
        <v>4100</v>
      </c>
      <c r="G266" s="10">
        <v>2235</v>
      </c>
    </row>
    <row r="267" spans="1:7" x14ac:dyDescent="0.2">
      <c r="A267" s="8">
        <v>2016</v>
      </c>
      <c r="B267" s="6" t="s">
        <v>3</v>
      </c>
      <c r="C267" s="11">
        <v>826</v>
      </c>
      <c r="D267" s="11">
        <v>895</v>
      </c>
      <c r="E267" s="11">
        <v>484</v>
      </c>
      <c r="F267" s="11">
        <v>41</v>
      </c>
      <c r="G267" s="11">
        <v>13</v>
      </c>
    </row>
    <row r="268" spans="1:7" x14ac:dyDescent="0.2">
      <c r="A268" s="8">
        <v>2016</v>
      </c>
      <c r="B268" s="6" t="s">
        <v>4</v>
      </c>
      <c r="C268" s="11">
        <v>1668</v>
      </c>
      <c r="D268" s="11">
        <v>2171</v>
      </c>
      <c r="E268" s="11">
        <v>1056</v>
      </c>
      <c r="F268" s="11">
        <v>102</v>
      </c>
      <c r="G268" s="11">
        <v>39</v>
      </c>
    </row>
    <row r="269" spans="1:7" x14ac:dyDescent="0.2">
      <c r="A269" s="8">
        <v>2016</v>
      </c>
      <c r="B269" s="6" t="s">
        <v>5</v>
      </c>
      <c r="C269" s="11">
        <v>606</v>
      </c>
      <c r="D269" s="11">
        <v>695</v>
      </c>
      <c r="E269" s="11">
        <v>449</v>
      </c>
      <c r="F269" s="11">
        <v>38</v>
      </c>
      <c r="G269" s="11">
        <v>32</v>
      </c>
    </row>
    <row r="270" spans="1:7" x14ac:dyDescent="0.2">
      <c r="A270" s="8">
        <v>2016</v>
      </c>
      <c r="B270" s="6" t="s">
        <v>6</v>
      </c>
      <c r="C270" s="11">
        <v>787</v>
      </c>
      <c r="D270" s="11">
        <v>789</v>
      </c>
      <c r="E270" s="11">
        <v>544</v>
      </c>
      <c r="F270" s="11">
        <v>37</v>
      </c>
      <c r="G270" s="11">
        <v>31</v>
      </c>
    </row>
    <row r="271" spans="1:7" x14ac:dyDescent="0.2">
      <c r="A271" s="8">
        <v>2016</v>
      </c>
      <c r="B271" s="6" t="s">
        <v>31</v>
      </c>
      <c r="C271" s="11">
        <v>1915</v>
      </c>
      <c r="D271" s="11">
        <v>2777</v>
      </c>
      <c r="E271" s="11">
        <v>1255</v>
      </c>
      <c r="F271" s="11">
        <v>142</v>
      </c>
      <c r="G271" s="11">
        <v>45</v>
      </c>
    </row>
    <row r="272" spans="1:7" x14ac:dyDescent="0.2">
      <c r="A272" s="8">
        <v>2016</v>
      </c>
      <c r="B272" s="6" t="s">
        <v>7</v>
      </c>
      <c r="C272" s="11">
        <v>576</v>
      </c>
      <c r="D272" s="11">
        <v>528</v>
      </c>
      <c r="E272" s="11">
        <v>505</v>
      </c>
      <c r="F272" s="11">
        <v>30</v>
      </c>
      <c r="G272" s="11">
        <v>11</v>
      </c>
    </row>
    <row r="273" spans="1:7" x14ac:dyDescent="0.2">
      <c r="A273" s="8">
        <v>2016</v>
      </c>
      <c r="B273" s="6" t="s">
        <v>8</v>
      </c>
      <c r="C273" s="11">
        <v>3064</v>
      </c>
      <c r="D273" s="11">
        <v>2350</v>
      </c>
      <c r="E273" s="11">
        <v>1690</v>
      </c>
      <c r="F273" s="11">
        <v>136</v>
      </c>
      <c r="G273" s="11">
        <v>93</v>
      </c>
    </row>
    <row r="274" spans="1:7" x14ac:dyDescent="0.2">
      <c r="A274" s="8">
        <v>2016</v>
      </c>
      <c r="B274" s="6" t="s">
        <v>9</v>
      </c>
      <c r="C274" s="11">
        <v>2029</v>
      </c>
      <c r="D274" s="11">
        <v>2814</v>
      </c>
      <c r="E274" s="11">
        <v>1685</v>
      </c>
      <c r="F274" s="11">
        <v>120</v>
      </c>
      <c r="G274" s="11">
        <v>95</v>
      </c>
    </row>
    <row r="275" spans="1:7" x14ac:dyDescent="0.2">
      <c r="A275" s="8">
        <v>2016</v>
      </c>
      <c r="B275" s="6" t="s">
        <v>30</v>
      </c>
      <c r="C275" s="11">
        <v>9194</v>
      </c>
      <c r="D275" s="11">
        <v>15627</v>
      </c>
      <c r="E275" s="11">
        <v>5364</v>
      </c>
      <c r="F275" s="11">
        <v>652</v>
      </c>
      <c r="G275" s="11">
        <v>109</v>
      </c>
    </row>
    <row r="276" spans="1:7" x14ac:dyDescent="0.2">
      <c r="A276" s="8">
        <v>2016</v>
      </c>
      <c r="B276" s="6" t="s">
        <v>10</v>
      </c>
      <c r="C276" s="11">
        <v>1284</v>
      </c>
      <c r="D276" s="11">
        <v>1453</v>
      </c>
      <c r="E276" s="11">
        <v>672</v>
      </c>
      <c r="F276" s="11">
        <v>62</v>
      </c>
      <c r="G276" s="11">
        <v>44</v>
      </c>
    </row>
    <row r="277" spans="1:7" x14ac:dyDescent="0.2">
      <c r="A277" s="8">
        <v>2016</v>
      </c>
      <c r="B277" s="6" t="s">
        <v>11</v>
      </c>
      <c r="C277" s="11">
        <v>2836</v>
      </c>
      <c r="D277" s="11">
        <v>3340</v>
      </c>
      <c r="E277" s="11">
        <v>2111</v>
      </c>
      <c r="F277" s="11">
        <v>169</v>
      </c>
      <c r="G277" s="11">
        <v>85</v>
      </c>
    </row>
    <row r="278" spans="1:7" x14ac:dyDescent="0.2">
      <c r="A278" s="8">
        <v>2016</v>
      </c>
      <c r="B278" s="6" t="s">
        <v>12</v>
      </c>
      <c r="C278" s="11">
        <v>2485</v>
      </c>
      <c r="D278" s="11">
        <v>2074</v>
      </c>
      <c r="E278" s="11">
        <v>2120</v>
      </c>
      <c r="F278" s="11">
        <v>127</v>
      </c>
      <c r="G278" s="11">
        <v>69</v>
      </c>
    </row>
    <row r="279" spans="1:7" x14ac:dyDescent="0.2">
      <c r="A279" s="8">
        <v>2016</v>
      </c>
      <c r="B279" s="6" t="s">
        <v>13</v>
      </c>
      <c r="C279" s="11">
        <v>1946</v>
      </c>
      <c r="D279" s="11">
        <v>1370</v>
      </c>
      <c r="E279" s="11">
        <v>1480</v>
      </c>
      <c r="F279" s="11">
        <v>63</v>
      </c>
      <c r="G279" s="11">
        <v>69</v>
      </c>
    </row>
    <row r="280" spans="1:7" x14ac:dyDescent="0.2">
      <c r="A280" s="8">
        <v>2016</v>
      </c>
      <c r="B280" s="6" t="s">
        <v>14</v>
      </c>
      <c r="C280" s="11">
        <v>4295</v>
      </c>
      <c r="D280" s="11">
        <v>6476</v>
      </c>
      <c r="E280" s="11">
        <v>3092</v>
      </c>
      <c r="F280" s="11">
        <v>261</v>
      </c>
      <c r="G280" s="11">
        <v>123</v>
      </c>
    </row>
    <row r="281" spans="1:7" x14ac:dyDescent="0.2">
      <c r="A281" s="8">
        <v>2016</v>
      </c>
      <c r="B281" s="6" t="s">
        <v>15</v>
      </c>
      <c r="C281" s="11">
        <v>7643</v>
      </c>
      <c r="D281" s="11">
        <v>8812</v>
      </c>
      <c r="E281" s="11">
        <v>4730</v>
      </c>
      <c r="F281" s="11">
        <v>341</v>
      </c>
      <c r="G281" s="11">
        <v>227</v>
      </c>
    </row>
    <row r="282" spans="1:7" x14ac:dyDescent="0.2">
      <c r="A282" s="8">
        <v>2016</v>
      </c>
      <c r="B282" s="6" t="s">
        <v>32</v>
      </c>
      <c r="C282" s="11">
        <v>2846</v>
      </c>
      <c r="D282" s="11">
        <v>2510</v>
      </c>
      <c r="E282" s="11">
        <v>1479</v>
      </c>
      <c r="F282" s="11">
        <v>117</v>
      </c>
      <c r="G282" s="11">
        <v>96</v>
      </c>
    </row>
    <row r="283" spans="1:7" x14ac:dyDescent="0.2">
      <c r="A283" s="8">
        <v>2016</v>
      </c>
      <c r="B283" s="6" t="s">
        <v>16</v>
      </c>
      <c r="C283" s="11">
        <v>1333</v>
      </c>
      <c r="D283" s="11">
        <v>1113</v>
      </c>
      <c r="E283" s="11">
        <v>885</v>
      </c>
      <c r="F283" s="11">
        <v>59</v>
      </c>
      <c r="G283" s="11">
        <v>30</v>
      </c>
    </row>
    <row r="284" spans="1:7" x14ac:dyDescent="0.2">
      <c r="A284" s="8">
        <v>2016</v>
      </c>
      <c r="B284" s="6" t="s">
        <v>17</v>
      </c>
      <c r="C284" s="11">
        <v>1077</v>
      </c>
      <c r="D284" s="11">
        <v>748</v>
      </c>
      <c r="E284" s="11">
        <v>724</v>
      </c>
      <c r="F284" s="11">
        <v>38</v>
      </c>
      <c r="G284" s="11">
        <v>30</v>
      </c>
    </row>
    <row r="285" spans="1:7" x14ac:dyDescent="0.2">
      <c r="A285" s="8">
        <v>2016</v>
      </c>
      <c r="B285" s="6" t="s">
        <v>18</v>
      </c>
      <c r="C285" s="11">
        <v>3084</v>
      </c>
      <c r="D285" s="11">
        <v>4153</v>
      </c>
      <c r="E285" s="11">
        <v>2216</v>
      </c>
      <c r="F285" s="11">
        <v>166</v>
      </c>
      <c r="G285" s="11">
        <v>36</v>
      </c>
    </row>
    <row r="286" spans="1:7" x14ac:dyDescent="0.2">
      <c r="A286" s="8">
        <v>2016</v>
      </c>
      <c r="B286" s="6" t="s">
        <v>19</v>
      </c>
      <c r="C286" s="11">
        <v>2974</v>
      </c>
      <c r="D286" s="11">
        <v>2295</v>
      </c>
      <c r="E286" s="11">
        <v>2879</v>
      </c>
      <c r="F286" s="11">
        <v>106</v>
      </c>
      <c r="G286" s="11">
        <v>74</v>
      </c>
    </row>
    <row r="287" spans="1:7" x14ac:dyDescent="0.2">
      <c r="A287" s="8">
        <v>2016</v>
      </c>
      <c r="B287" s="6" t="s">
        <v>20</v>
      </c>
      <c r="C287" s="11">
        <v>3639</v>
      </c>
      <c r="D287" s="11">
        <v>4090</v>
      </c>
      <c r="E287" s="11">
        <v>3411</v>
      </c>
      <c r="F287" s="11">
        <v>207</v>
      </c>
      <c r="G287" s="11">
        <v>247</v>
      </c>
    </row>
    <row r="288" spans="1:7" x14ac:dyDescent="0.2">
      <c r="A288" s="8">
        <v>2016</v>
      </c>
      <c r="B288" s="6" t="s">
        <v>33</v>
      </c>
      <c r="C288" s="11">
        <v>1040</v>
      </c>
      <c r="D288" s="11">
        <v>901</v>
      </c>
      <c r="E288" s="11">
        <v>798</v>
      </c>
      <c r="F288" s="11">
        <v>43</v>
      </c>
      <c r="G288" s="11">
        <v>19</v>
      </c>
    </row>
    <row r="289" spans="1:7" x14ac:dyDescent="0.2">
      <c r="A289" s="8">
        <v>2016</v>
      </c>
      <c r="B289" s="6" t="s">
        <v>21</v>
      </c>
      <c r="C289" s="11">
        <v>871</v>
      </c>
      <c r="D289" s="11">
        <v>881</v>
      </c>
      <c r="E289" s="11">
        <v>566</v>
      </c>
      <c r="F289" s="11">
        <v>44</v>
      </c>
      <c r="G289" s="11">
        <v>28</v>
      </c>
    </row>
    <row r="290" spans="1:7" x14ac:dyDescent="0.2">
      <c r="A290" s="8">
        <v>2016</v>
      </c>
      <c r="B290" s="6" t="s">
        <v>22</v>
      </c>
      <c r="C290" s="11">
        <v>1723</v>
      </c>
      <c r="D290" s="11">
        <v>1865</v>
      </c>
      <c r="E290" s="11">
        <v>955</v>
      </c>
      <c r="F290" s="11">
        <v>77</v>
      </c>
      <c r="G290" s="11">
        <v>43</v>
      </c>
    </row>
    <row r="291" spans="1:7" x14ac:dyDescent="0.2">
      <c r="A291" s="8">
        <v>2016</v>
      </c>
      <c r="B291" s="6" t="s">
        <v>23</v>
      </c>
      <c r="C291" s="11">
        <v>1919</v>
      </c>
      <c r="D291" s="11">
        <v>2303</v>
      </c>
      <c r="E291" s="11">
        <v>1176</v>
      </c>
      <c r="F291" s="11">
        <v>131</v>
      </c>
      <c r="G291" s="11">
        <v>60</v>
      </c>
    </row>
    <row r="292" spans="1:7" x14ac:dyDescent="0.2">
      <c r="A292" s="8">
        <v>2016</v>
      </c>
      <c r="B292" s="6" t="s">
        <v>24</v>
      </c>
      <c r="C292" s="11">
        <v>2091</v>
      </c>
      <c r="D292" s="11">
        <v>2906</v>
      </c>
      <c r="E292" s="11">
        <v>1366</v>
      </c>
      <c r="F292" s="11">
        <v>143</v>
      </c>
      <c r="G292" s="11">
        <v>35</v>
      </c>
    </row>
    <row r="293" spans="1:7" x14ac:dyDescent="0.2">
      <c r="A293" s="8">
        <v>2016</v>
      </c>
      <c r="B293" s="6" t="s">
        <v>25</v>
      </c>
      <c r="C293" s="11">
        <v>2181</v>
      </c>
      <c r="D293" s="11">
        <v>1580</v>
      </c>
      <c r="E293" s="11">
        <v>1363</v>
      </c>
      <c r="F293" s="11">
        <v>90</v>
      </c>
      <c r="G293" s="11">
        <v>37</v>
      </c>
    </row>
    <row r="294" spans="1:7" x14ac:dyDescent="0.2">
      <c r="A294" s="8">
        <v>2016</v>
      </c>
      <c r="B294" s="6" t="s">
        <v>26</v>
      </c>
      <c r="C294" s="11">
        <v>2292</v>
      </c>
      <c r="D294" s="11">
        <v>3046</v>
      </c>
      <c r="E294" s="11">
        <v>1612</v>
      </c>
      <c r="F294" s="11">
        <v>130</v>
      </c>
      <c r="G294" s="11">
        <v>66</v>
      </c>
    </row>
    <row r="295" spans="1:7" x14ac:dyDescent="0.2">
      <c r="A295" s="8">
        <v>2016</v>
      </c>
      <c r="B295" s="6" t="s">
        <v>27</v>
      </c>
      <c r="C295" s="11">
        <v>804</v>
      </c>
      <c r="D295" s="11">
        <v>687</v>
      </c>
      <c r="E295" s="11">
        <v>700</v>
      </c>
      <c r="F295" s="11">
        <v>37</v>
      </c>
      <c r="G295" s="11">
        <v>72</v>
      </c>
    </row>
    <row r="296" spans="1:7" x14ac:dyDescent="0.2">
      <c r="A296" s="8">
        <v>2016</v>
      </c>
      <c r="B296" s="6" t="s">
        <v>34</v>
      </c>
      <c r="C296" s="11">
        <v>4878</v>
      </c>
      <c r="D296" s="11">
        <v>5148</v>
      </c>
      <c r="E296" s="11">
        <v>2558</v>
      </c>
      <c r="F296" s="11">
        <v>258</v>
      </c>
      <c r="G296" s="11">
        <v>165</v>
      </c>
    </row>
    <row r="297" spans="1:7" x14ac:dyDescent="0.2">
      <c r="A297" s="8">
        <v>2016</v>
      </c>
      <c r="B297" s="6" t="s">
        <v>28</v>
      </c>
      <c r="C297" s="11">
        <v>1352</v>
      </c>
      <c r="D297" s="11">
        <v>1752</v>
      </c>
      <c r="E297" s="11">
        <v>987</v>
      </c>
      <c r="F297" s="11">
        <v>78</v>
      </c>
      <c r="G297" s="11">
        <v>23</v>
      </c>
    </row>
    <row r="298" spans="1:7" x14ac:dyDescent="0.2">
      <c r="A298" s="8">
        <v>2016</v>
      </c>
      <c r="B298" s="6" t="s">
        <v>29</v>
      </c>
      <c r="C298" s="11">
        <v>1158</v>
      </c>
      <c r="D298" s="11">
        <v>1006</v>
      </c>
      <c r="E298" s="11">
        <v>809</v>
      </c>
      <c r="F298" s="11">
        <v>55</v>
      </c>
      <c r="G298" s="11">
        <v>89</v>
      </c>
    </row>
    <row r="299" spans="1:7" x14ac:dyDescent="0.2">
      <c r="A299" s="9">
        <v>2015</v>
      </c>
      <c r="B299" s="7" t="s">
        <v>2</v>
      </c>
      <c r="C299" s="10">
        <v>74462</v>
      </c>
      <c r="D299" s="10">
        <v>87603</v>
      </c>
      <c r="E299" s="10">
        <v>51914</v>
      </c>
      <c r="F299" s="10">
        <v>4072</v>
      </c>
      <c r="G299" s="10">
        <v>2153</v>
      </c>
    </row>
    <row r="300" spans="1:7" x14ac:dyDescent="0.2">
      <c r="A300" s="8">
        <v>2015</v>
      </c>
      <c r="B300" s="6" t="s">
        <v>3</v>
      </c>
      <c r="C300" s="11">
        <v>831</v>
      </c>
      <c r="D300" s="11">
        <v>875</v>
      </c>
      <c r="E300" s="11">
        <v>486</v>
      </c>
      <c r="F300" s="11">
        <v>41</v>
      </c>
      <c r="G300" s="11">
        <v>12</v>
      </c>
    </row>
    <row r="301" spans="1:7" x14ac:dyDescent="0.2">
      <c r="A301" s="8">
        <v>2015</v>
      </c>
      <c r="B301" s="6" t="s">
        <v>4</v>
      </c>
      <c r="C301" s="11">
        <v>1598</v>
      </c>
      <c r="D301" s="11">
        <v>2152</v>
      </c>
      <c r="E301" s="11">
        <v>1076</v>
      </c>
      <c r="F301" s="11">
        <v>105</v>
      </c>
      <c r="G301" s="11">
        <v>42</v>
      </c>
    </row>
    <row r="302" spans="1:7" x14ac:dyDescent="0.2">
      <c r="A302" s="8">
        <v>2015</v>
      </c>
      <c r="B302" s="6" t="s">
        <v>5</v>
      </c>
      <c r="C302" s="11">
        <v>613</v>
      </c>
      <c r="D302" s="11">
        <v>679</v>
      </c>
      <c r="E302" s="11">
        <v>462</v>
      </c>
      <c r="F302" s="11">
        <v>38</v>
      </c>
      <c r="G302" s="11">
        <v>25</v>
      </c>
    </row>
    <row r="303" spans="1:7" x14ac:dyDescent="0.2">
      <c r="A303" s="8">
        <v>2015</v>
      </c>
      <c r="B303" s="6" t="s">
        <v>6</v>
      </c>
      <c r="C303" s="11">
        <v>774</v>
      </c>
      <c r="D303" s="11">
        <v>779</v>
      </c>
      <c r="E303" s="11">
        <v>537</v>
      </c>
      <c r="F303" s="11">
        <v>38</v>
      </c>
      <c r="G303" s="11">
        <v>24</v>
      </c>
    </row>
    <row r="304" spans="1:7" x14ac:dyDescent="0.2">
      <c r="A304" s="8">
        <v>2015</v>
      </c>
      <c r="B304" s="6" t="s">
        <v>31</v>
      </c>
      <c r="C304" s="11">
        <v>1945</v>
      </c>
      <c r="D304" s="11">
        <v>2665</v>
      </c>
      <c r="E304" s="11">
        <v>1253</v>
      </c>
      <c r="F304" s="11">
        <v>143</v>
      </c>
      <c r="G304" s="11">
        <v>54</v>
      </c>
    </row>
    <row r="305" spans="1:7" x14ac:dyDescent="0.2">
      <c r="A305" s="8">
        <v>2015</v>
      </c>
      <c r="B305" s="6" t="s">
        <v>7</v>
      </c>
      <c r="C305" s="11">
        <v>587</v>
      </c>
      <c r="D305" s="11">
        <v>568</v>
      </c>
      <c r="E305" s="11">
        <v>534</v>
      </c>
      <c r="F305" s="11">
        <v>31</v>
      </c>
      <c r="G305" s="11">
        <v>12</v>
      </c>
    </row>
    <row r="306" spans="1:7" x14ac:dyDescent="0.2">
      <c r="A306" s="8">
        <v>2015</v>
      </c>
      <c r="B306" s="6" t="s">
        <v>8</v>
      </c>
      <c r="C306" s="11">
        <v>3011</v>
      </c>
      <c r="D306" s="11">
        <v>2193</v>
      </c>
      <c r="E306" s="11">
        <v>1629</v>
      </c>
      <c r="F306" s="11">
        <v>133</v>
      </c>
      <c r="G306" s="11">
        <v>95</v>
      </c>
    </row>
    <row r="307" spans="1:7" x14ac:dyDescent="0.2">
      <c r="A307" s="8">
        <v>2015</v>
      </c>
      <c r="B307" s="6" t="s">
        <v>9</v>
      </c>
      <c r="C307" s="11">
        <v>2080</v>
      </c>
      <c r="D307" s="11">
        <v>2873</v>
      </c>
      <c r="E307" s="11">
        <v>1637</v>
      </c>
      <c r="F307" s="11">
        <v>121</v>
      </c>
      <c r="G307" s="11">
        <v>89</v>
      </c>
    </row>
    <row r="308" spans="1:7" x14ac:dyDescent="0.2">
      <c r="A308" s="8">
        <v>2015</v>
      </c>
      <c r="B308" s="6" t="s">
        <v>30</v>
      </c>
      <c r="C308" s="11">
        <v>9173</v>
      </c>
      <c r="D308" s="11">
        <v>15798</v>
      </c>
      <c r="E308" s="11">
        <v>5795</v>
      </c>
      <c r="F308" s="11">
        <v>642</v>
      </c>
      <c r="G308" s="11">
        <v>109</v>
      </c>
    </row>
    <row r="309" spans="1:7" x14ac:dyDescent="0.2">
      <c r="A309" s="8">
        <v>2015</v>
      </c>
      <c r="B309" s="6" t="s">
        <v>10</v>
      </c>
      <c r="C309" s="11">
        <v>1301</v>
      </c>
      <c r="D309" s="11">
        <v>1537</v>
      </c>
      <c r="E309" s="11">
        <v>696</v>
      </c>
      <c r="F309" s="11">
        <v>63</v>
      </c>
      <c r="G309" s="11">
        <v>43</v>
      </c>
    </row>
    <row r="310" spans="1:7" x14ac:dyDescent="0.2">
      <c r="A310" s="8">
        <v>2015</v>
      </c>
      <c r="B310" s="6" t="s">
        <v>11</v>
      </c>
      <c r="C310" s="11">
        <v>2819</v>
      </c>
      <c r="D310" s="11">
        <v>3346</v>
      </c>
      <c r="E310" s="11">
        <v>2138</v>
      </c>
      <c r="F310" s="11">
        <v>170</v>
      </c>
      <c r="G310" s="11">
        <v>88</v>
      </c>
    </row>
    <row r="311" spans="1:7" x14ac:dyDescent="0.2">
      <c r="A311" s="8">
        <v>2015</v>
      </c>
      <c r="B311" s="6" t="s">
        <v>12</v>
      </c>
      <c r="C311" s="11">
        <v>2405</v>
      </c>
      <c r="D311" s="11">
        <v>1911</v>
      </c>
      <c r="E311" s="11">
        <v>2109</v>
      </c>
      <c r="F311" s="11">
        <v>133</v>
      </c>
      <c r="G311" s="11">
        <v>67</v>
      </c>
    </row>
    <row r="312" spans="1:7" x14ac:dyDescent="0.2">
      <c r="A312" s="8">
        <v>2015</v>
      </c>
      <c r="B312" s="6" t="s">
        <v>13</v>
      </c>
      <c r="C312" s="11">
        <v>1946</v>
      </c>
      <c r="D312" s="11">
        <v>1349</v>
      </c>
      <c r="E312" s="11">
        <v>1330</v>
      </c>
      <c r="F312" s="11">
        <v>62</v>
      </c>
      <c r="G312" s="11">
        <v>55</v>
      </c>
    </row>
    <row r="313" spans="1:7" x14ac:dyDescent="0.2">
      <c r="A313" s="8">
        <v>2015</v>
      </c>
      <c r="B313" s="6" t="s">
        <v>14</v>
      </c>
      <c r="C313" s="11">
        <v>3197</v>
      </c>
      <c r="D313" s="11">
        <v>5965</v>
      </c>
      <c r="E313" s="11">
        <v>3182</v>
      </c>
      <c r="F313" s="11">
        <v>259</v>
      </c>
      <c r="G313" s="11">
        <v>108</v>
      </c>
    </row>
    <row r="314" spans="1:7" x14ac:dyDescent="0.2">
      <c r="A314" s="8">
        <v>2015</v>
      </c>
      <c r="B314" s="6" t="s">
        <v>15</v>
      </c>
      <c r="C314" s="11">
        <v>7279</v>
      </c>
      <c r="D314" s="11">
        <v>8311</v>
      </c>
      <c r="E314" s="11">
        <v>4566</v>
      </c>
      <c r="F314" s="11">
        <v>315</v>
      </c>
      <c r="G314" s="11">
        <v>218</v>
      </c>
    </row>
    <row r="315" spans="1:7" x14ac:dyDescent="0.2">
      <c r="A315" s="8">
        <v>2015</v>
      </c>
      <c r="B315" s="6" t="s">
        <v>32</v>
      </c>
      <c r="C315" s="11">
        <v>2787</v>
      </c>
      <c r="D315" s="11">
        <v>2504</v>
      </c>
      <c r="E315" s="11">
        <v>1508</v>
      </c>
      <c r="F315" s="11">
        <v>123</v>
      </c>
      <c r="G315" s="11">
        <v>92</v>
      </c>
    </row>
    <row r="316" spans="1:7" x14ac:dyDescent="0.2">
      <c r="A316" s="8">
        <v>2015</v>
      </c>
      <c r="B316" s="6" t="s">
        <v>16</v>
      </c>
      <c r="C316" s="11">
        <v>1311</v>
      </c>
      <c r="D316" s="11">
        <v>1109</v>
      </c>
      <c r="E316" s="11">
        <v>883</v>
      </c>
      <c r="F316" s="11">
        <v>56</v>
      </c>
      <c r="G316" s="11">
        <v>30</v>
      </c>
    </row>
    <row r="317" spans="1:7" x14ac:dyDescent="0.2">
      <c r="A317" s="8">
        <v>2015</v>
      </c>
      <c r="B317" s="6" t="s">
        <v>17</v>
      </c>
      <c r="C317" s="11">
        <v>1078</v>
      </c>
      <c r="D317" s="11">
        <v>741</v>
      </c>
      <c r="E317" s="11">
        <v>699</v>
      </c>
      <c r="F317" s="11">
        <v>39</v>
      </c>
      <c r="G317" s="11">
        <v>28</v>
      </c>
    </row>
    <row r="318" spans="1:7" x14ac:dyDescent="0.2">
      <c r="A318" s="8">
        <v>2015</v>
      </c>
      <c r="B318" s="6" t="s">
        <v>18</v>
      </c>
      <c r="C318" s="11">
        <v>3117</v>
      </c>
      <c r="D318" s="11">
        <v>4153</v>
      </c>
      <c r="E318" s="11">
        <v>2174</v>
      </c>
      <c r="F318" s="11">
        <v>167</v>
      </c>
      <c r="G318" s="11">
        <v>42</v>
      </c>
    </row>
    <row r="319" spans="1:7" x14ac:dyDescent="0.2">
      <c r="A319" s="8">
        <v>2015</v>
      </c>
      <c r="B319" s="6" t="s">
        <v>19</v>
      </c>
      <c r="C319" s="11">
        <v>2877</v>
      </c>
      <c r="D319" s="11">
        <v>2199</v>
      </c>
      <c r="E319" s="11">
        <v>2848</v>
      </c>
      <c r="F319" s="11">
        <v>104</v>
      </c>
      <c r="G319" s="11">
        <v>116</v>
      </c>
    </row>
    <row r="320" spans="1:7" x14ac:dyDescent="0.2">
      <c r="A320" s="8">
        <v>2015</v>
      </c>
      <c r="B320" s="6" t="s">
        <v>20</v>
      </c>
      <c r="C320" s="11">
        <v>3624</v>
      </c>
      <c r="D320" s="11">
        <v>3966</v>
      </c>
      <c r="E320" s="11">
        <v>3459</v>
      </c>
      <c r="F320" s="11">
        <v>210</v>
      </c>
      <c r="G320" s="11">
        <v>233</v>
      </c>
    </row>
    <row r="321" spans="1:7" x14ac:dyDescent="0.2">
      <c r="A321" s="8">
        <v>2015</v>
      </c>
      <c r="B321" s="6" t="s">
        <v>33</v>
      </c>
      <c r="C321" s="11">
        <v>1023</v>
      </c>
      <c r="D321" s="11">
        <v>858</v>
      </c>
      <c r="E321" s="11">
        <v>757</v>
      </c>
      <c r="F321" s="11">
        <v>49</v>
      </c>
      <c r="G321" s="11">
        <v>19</v>
      </c>
    </row>
    <row r="322" spans="1:7" x14ac:dyDescent="0.2">
      <c r="A322" s="8">
        <v>2015</v>
      </c>
      <c r="B322" s="6" t="s">
        <v>21</v>
      </c>
      <c r="C322" s="11">
        <v>869</v>
      </c>
      <c r="D322" s="11">
        <v>909</v>
      </c>
      <c r="E322" s="11">
        <v>583</v>
      </c>
      <c r="F322" s="11">
        <v>44</v>
      </c>
      <c r="G322" s="11">
        <v>28</v>
      </c>
    </row>
    <row r="323" spans="1:7" x14ac:dyDescent="0.2">
      <c r="A323" s="8">
        <v>2015</v>
      </c>
      <c r="B323" s="6" t="s">
        <v>22</v>
      </c>
      <c r="C323" s="11">
        <v>1555</v>
      </c>
      <c r="D323" s="11">
        <v>1860</v>
      </c>
      <c r="E323" s="11">
        <v>979</v>
      </c>
      <c r="F323" s="11">
        <v>77</v>
      </c>
      <c r="G323" s="11">
        <v>37</v>
      </c>
    </row>
    <row r="324" spans="1:7" x14ac:dyDescent="0.2">
      <c r="A324" s="8">
        <v>2015</v>
      </c>
      <c r="B324" s="6" t="s">
        <v>23</v>
      </c>
      <c r="C324" s="11">
        <v>1910</v>
      </c>
      <c r="D324" s="11">
        <v>2220</v>
      </c>
      <c r="E324" s="11">
        <v>1182</v>
      </c>
      <c r="F324" s="11">
        <v>125</v>
      </c>
      <c r="G324" s="11">
        <v>61</v>
      </c>
    </row>
    <row r="325" spans="1:7" x14ac:dyDescent="0.2">
      <c r="A325" s="8">
        <v>2015</v>
      </c>
      <c r="B325" s="6" t="s">
        <v>24</v>
      </c>
      <c r="C325" s="11">
        <v>2121</v>
      </c>
      <c r="D325" s="11">
        <v>2846</v>
      </c>
      <c r="E325" s="11">
        <v>1339</v>
      </c>
      <c r="F325" s="11">
        <v>134</v>
      </c>
      <c r="G325" s="11">
        <v>38</v>
      </c>
    </row>
    <row r="326" spans="1:7" x14ac:dyDescent="0.2">
      <c r="A326" s="8">
        <v>2015</v>
      </c>
      <c r="B326" s="6" t="s">
        <v>25</v>
      </c>
      <c r="C326" s="11">
        <v>2130</v>
      </c>
      <c r="D326" s="11">
        <v>1579</v>
      </c>
      <c r="E326" s="11">
        <v>1336</v>
      </c>
      <c r="F326" s="11">
        <v>91</v>
      </c>
      <c r="G326" s="11">
        <v>38</v>
      </c>
    </row>
    <row r="327" spans="1:7" x14ac:dyDescent="0.2">
      <c r="A327" s="8">
        <v>2015</v>
      </c>
      <c r="B327" s="6" t="s">
        <v>26</v>
      </c>
      <c r="C327" s="11">
        <v>2373</v>
      </c>
      <c r="D327" s="11">
        <v>3047</v>
      </c>
      <c r="E327" s="11">
        <v>1543</v>
      </c>
      <c r="F327" s="11">
        <v>134</v>
      </c>
      <c r="G327" s="11">
        <v>66</v>
      </c>
    </row>
    <row r="328" spans="1:7" x14ac:dyDescent="0.2">
      <c r="A328" s="8">
        <v>2015</v>
      </c>
      <c r="B328" s="6" t="s">
        <v>27</v>
      </c>
      <c r="C328" s="11">
        <v>797</v>
      </c>
      <c r="D328" s="11">
        <v>687</v>
      </c>
      <c r="E328" s="11">
        <v>699</v>
      </c>
      <c r="F328" s="11">
        <v>36</v>
      </c>
      <c r="G328" s="11">
        <v>27</v>
      </c>
    </row>
    <row r="329" spans="1:7" x14ac:dyDescent="0.2">
      <c r="A329" s="8">
        <v>2015</v>
      </c>
      <c r="B329" s="6" t="s">
        <v>34</v>
      </c>
      <c r="C329" s="11">
        <v>4891</v>
      </c>
      <c r="D329" s="11">
        <v>5064</v>
      </c>
      <c r="E329" s="11">
        <v>2607</v>
      </c>
      <c r="F329" s="11">
        <v>263</v>
      </c>
      <c r="G329" s="11">
        <v>145</v>
      </c>
    </row>
    <row r="330" spans="1:7" x14ac:dyDescent="0.2">
      <c r="A330" s="8">
        <v>2015</v>
      </c>
      <c r="B330" s="6" t="s">
        <v>28</v>
      </c>
      <c r="C330" s="11">
        <v>1277</v>
      </c>
      <c r="D330" s="11">
        <v>1861</v>
      </c>
      <c r="E330" s="11">
        <v>1074</v>
      </c>
      <c r="F330" s="11">
        <v>73</v>
      </c>
      <c r="G330" s="11">
        <v>23</v>
      </c>
    </row>
    <row r="331" spans="1:7" x14ac:dyDescent="0.2">
      <c r="A331" s="8">
        <v>2015</v>
      </c>
      <c r="B331" s="6" t="s">
        <v>29</v>
      </c>
      <c r="C331" s="11">
        <v>1163</v>
      </c>
      <c r="D331" s="11">
        <v>999</v>
      </c>
      <c r="E331" s="11">
        <v>814</v>
      </c>
      <c r="F331" s="11">
        <v>53</v>
      </c>
      <c r="G331" s="11">
        <v>89</v>
      </c>
    </row>
    <row r="332" spans="1:7" x14ac:dyDescent="0.2">
      <c r="A332" s="9">
        <v>2014</v>
      </c>
      <c r="B332" s="7" t="s">
        <v>2</v>
      </c>
      <c r="C332" s="10">
        <v>74579</v>
      </c>
      <c r="D332" s="10">
        <v>89181</v>
      </c>
      <c r="E332" s="10">
        <v>59871</v>
      </c>
      <c r="F332" s="10">
        <v>4009</v>
      </c>
      <c r="G332" s="10">
        <v>2141</v>
      </c>
    </row>
    <row r="333" spans="1:7" x14ac:dyDescent="0.2">
      <c r="A333" s="8">
        <v>2014</v>
      </c>
      <c r="B333" s="6" t="s">
        <v>3</v>
      </c>
      <c r="C333" s="11">
        <v>899</v>
      </c>
      <c r="D333" s="11">
        <v>874</v>
      </c>
      <c r="E333" s="11">
        <v>506</v>
      </c>
      <c r="F333" s="11">
        <v>42</v>
      </c>
      <c r="G333" s="11">
        <v>12</v>
      </c>
    </row>
    <row r="334" spans="1:7" x14ac:dyDescent="0.2">
      <c r="A334" s="8">
        <v>2014</v>
      </c>
      <c r="B334" s="6" t="s">
        <v>4</v>
      </c>
      <c r="C334" s="11">
        <v>1619</v>
      </c>
      <c r="D334" s="11">
        <v>2193</v>
      </c>
      <c r="E334" s="11">
        <v>1271</v>
      </c>
      <c r="F334" s="11">
        <v>97</v>
      </c>
      <c r="G334" s="11">
        <v>42</v>
      </c>
    </row>
    <row r="335" spans="1:7" x14ac:dyDescent="0.2">
      <c r="A335" s="8">
        <v>2014</v>
      </c>
      <c r="B335" s="6" t="s">
        <v>5</v>
      </c>
      <c r="C335" s="11">
        <v>618</v>
      </c>
      <c r="D335" s="11">
        <v>678</v>
      </c>
      <c r="E335" s="11">
        <v>530</v>
      </c>
      <c r="F335" s="11">
        <v>38</v>
      </c>
      <c r="G335" s="11">
        <v>26</v>
      </c>
    </row>
    <row r="336" spans="1:7" x14ac:dyDescent="0.2">
      <c r="A336" s="8">
        <v>2014</v>
      </c>
      <c r="B336" s="6" t="s">
        <v>6</v>
      </c>
      <c r="C336" s="11">
        <v>820</v>
      </c>
      <c r="D336" s="11">
        <v>939</v>
      </c>
      <c r="E336" s="11">
        <v>618</v>
      </c>
      <c r="F336" s="11">
        <v>39</v>
      </c>
      <c r="G336" s="11">
        <v>25</v>
      </c>
    </row>
    <row r="337" spans="1:7" x14ac:dyDescent="0.2">
      <c r="A337" s="8">
        <v>2014</v>
      </c>
      <c r="B337" s="6" t="s">
        <v>31</v>
      </c>
      <c r="C337" s="11">
        <v>1974</v>
      </c>
      <c r="D337" s="11">
        <v>2686</v>
      </c>
      <c r="E337" s="11">
        <v>1570</v>
      </c>
      <c r="F337" s="11">
        <v>132</v>
      </c>
      <c r="G337" s="11">
        <v>55</v>
      </c>
    </row>
    <row r="338" spans="1:7" x14ac:dyDescent="0.2">
      <c r="A338" s="8">
        <v>2014</v>
      </c>
      <c r="B338" s="6" t="s">
        <v>7</v>
      </c>
      <c r="C338" s="11">
        <v>647</v>
      </c>
      <c r="D338" s="11">
        <v>563</v>
      </c>
      <c r="E338" s="11">
        <v>499</v>
      </c>
      <c r="F338" s="11">
        <v>36</v>
      </c>
      <c r="G338" s="11">
        <v>12</v>
      </c>
    </row>
    <row r="339" spans="1:7" x14ac:dyDescent="0.2">
      <c r="A339" s="8">
        <v>2014</v>
      </c>
      <c r="B339" s="6" t="s">
        <v>8</v>
      </c>
      <c r="C339" s="11">
        <v>2963</v>
      </c>
      <c r="D339" s="11">
        <v>2240</v>
      </c>
      <c r="E339" s="11">
        <v>2664</v>
      </c>
      <c r="F339" s="11">
        <v>128</v>
      </c>
      <c r="G339" s="11">
        <v>92</v>
      </c>
    </row>
    <row r="340" spans="1:7" x14ac:dyDescent="0.2">
      <c r="A340" s="8">
        <v>2014</v>
      </c>
      <c r="B340" s="6" t="s">
        <v>9</v>
      </c>
      <c r="C340" s="11">
        <v>2042</v>
      </c>
      <c r="D340" s="11">
        <v>2800</v>
      </c>
      <c r="E340" s="11">
        <v>1748</v>
      </c>
      <c r="F340" s="11">
        <v>113</v>
      </c>
      <c r="G340" s="11">
        <v>74</v>
      </c>
    </row>
    <row r="341" spans="1:7" x14ac:dyDescent="0.2">
      <c r="A341" s="8">
        <v>2014</v>
      </c>
      <c r="B341" s="6" t="s">
        <v>30</v>
      </c>
      <c r="C341" s="11">
        <v>8957</v>
      </c>
      <c r="D341" s="11">
        <v>16259</v>
      </c>
      <c r="E341" s="11">
        <v>6463</v>
      </c>
      <c r="F341" s="11">
        <v>633</v>
      </c>
      <c r="G341" s="11">
        <v>108</v>
      </c>
    </row>
    <row r="342" spans="1:7" x14ac:dyDescent="0.2">
      <c r="A342" s="8">
        <v>2014</v>
      </c>
      <c r="B342" s="6" t="s">
        <v>10</v>
      </c>
      <c r="C342" s="11">
        <v>1267</v>
      </c>
      <c r="D342" s="11">
        <v>1700</v>
      </c>
      <c r="E342" s="11">
        <v>1067</v>
      </c>
      <c r="F342" s="11">
        <v>68</v>
      </c>
      <c r="G342" s="11">
        <v>50</v>
      </c>
    </row>
    <row r="343" spans="1:7" x14ac:dyDescent="0.2">
      <c r="A343" s="8">
        <v>2014</v>
      </c>
      <c r="B343" s="6" t="s">
        <v>11</v>
      </c>
      <c r="C343" s="11">
        <v>2707</v>
      </c>
      <c r="D343" s="11">
        <v>3186</v>
      </c>
      <c r="E343" s="11">
        <v>2211</v>
      </c>
      <c r="F343" s="11">
        <v>172</v>
      </c>
      <c r="G343" s="11">
        <v>102</v>
      </c>
    </row>
    <row r="344" spans="1:7" x14ac:dyDescent="0.2">
      <c r="A344" s="8">
        <v>2014</v>
      </c>
      <c r="B344" s="6" t="s">
        <v>12</v>
      </c>
      <c r="C344" s="11">
        <v>2400</v>
      </c>
      <c r="D344" s="11">
        <v>1864</v>
      </c>
      <c r="E344" s="11">
        <v>1742</v>
      </c>
      <c r="F344" s="11">
        <v>137</v>
      </c>
      <c r="G344" s="11">
        <v>82</v>
      </c>
    </row>
    <row r="345" spans="1:7" x14ac:dyDescent="0.2">
      <c r="A345" s="8">
        <v>2014</v>
      </c>
      <c r="B345" s="6" t="s">
        <v>13</v>
      </c>
      <c r="C345" s="11">
        <v>1939</v>
      </c>
      <c r="D345" s="11">
        <v>1347</v>
      </c>
      <c r="E345" s="11">
        <v>1732</v>
      </c>
      <c r="F345" s="11">
        <v>57</v>
      </c>
      <c r="G345" s="11">
        <v>55</v>
      </c>
    </row>
    <row r="346" spans="1:7" x14ac:dyDescent="0.2">
      <c r="A346" s="8">
        <v>2014</v>
      </c>
      <c r="B346" s="6" t="s">
        <v>14</v>
      </c>
      <c r="C346" s="11">
        <v>4149</v>
      </c>
      <c r="D346" s="11">
        <v>6435</v>
      </c>
      <c r="E346" s="11">
        <v>3558</v>
      </c>
      <c r="F346" s="11">
        <v>249</v>
      </c>
      <c r="G346" s="11">
        <v>113</v>
      </c>
    </row>
    <row r="347" spans="1:7" x14ac:dyDescent="0.2">
      <c r="A347" s="8">
        <v>2014</v>
      </c>
      <c r="B347" s="6" t="s">
        <v>15</v>
      </c>
      <c r="C347" s="11">
        <v>7127</v>
      </c>
      <c r="D347" s="11">
        <v>8198</v>
      </c>
      <c r="E347" s="11">
        <v>4966</v>
      </c>
      <c r="F347" s="11">
        <v>321</v>
      </c>
      <c r="G347" s="11">
        <v>210</v>
      </c>
    </row>
    <row r="348" spans="1:7" x14ac:dyDescent="0.2">
      <c r="A348" s="8">
        <v>2014</v>
      </c>
      <c r="B348" s="6" t="s">
        <v>32</v>
      </c>
      <c r="C348" s="11">
        <v>2780</v>
      </c>
      <c r="D348" s="11">
        <v>2513</v>
      </c>
      <c r="E348" s="11">
        <v>2191</v>
      </c>
      <c r="F348" s="11">
        <v>116</v>
      </c>
      <c r="G348" s="11">
        <v>93</v>
      </c>
    </row>
    <row r="349" spans="1:7" x14ac:dyDescent="0.2">
      <c r="A349" s="8">
        <v>2014</v>
      </c>
      <c r="B349" s="6" t="s">
        <v>16</v>
      </c>
      <c r="C349" s="11">
        <v>1269</v>
      </c>
      <c r="D349" s="11">
        <v>1063</v>
      </c>
      <c r="E349" s="11">
        <v>939</v>
      </c>
      <c r="F349" s="11">
        <v>62</v>
      </c>
      <c r="G349" s="11">
        <v>29</v>
      </c>
    </row>
    <row r="350" spans="1:7" x14ac:dyDescent="0.2">
      <c r="A350" s="8">
        <v>2014</v>
      </c>
      <c r="B350" s="6" t="s">
        <v>17</v>
      </c>
      <c r="C350" s="11">
        <v>1009</v>
      </c>
      <c r="D350" s="11">
        <v>732</v>
      </c>
      <c r="E350" s="11">
        <v>821</v>
      </c>
      <c r="F350" s="11">
        <v>39</v>
      </c>
      <c r="G350" s="11">
        <v>25</v>
      </c>
    </row>
    <row r="351" spans="1:7" x14ac:dyDescent="0.2">
      <c r="A351" s="8">
        <v>2014</v>
      </c>
      <c r="B351" s="6" t="s">
        <v>18</v>
      </c>
      <c r="C351" s="11">
        <v>3072</v>
      </c>
      <c r="D351" s="11">
        <v>4172</v>
      </c>
      <c r="E351" s="11">
        <v>2415</v>
      </c>
      <c r="F351" s="11">
        <v>174</v>
      </c>
      <c r="G351" s="11">
        <v>41</v>
      </c>
    </row>
    <row r="352" spans="1:7" x14ac:dyDescent="0.2">
      <c r="A352" s="8">
        <v>2014</v>
      </c>
      <c r="B352" s="6" t="s">
        <v>19</v>
      </c>
      <c r="C352" s="11">
        <v>2908</v>
      </c>
      <c r="D352" s="11">
        <v>2263</v>
      </c>
      <c r="E352" s="11">
        <v>3272</v>
      </c>
      <c r="F352" s="11">
        <v>105</v>
      </c>
      <c r="G352" s="11">
        <v>110</v>
      </c>
    </row>
    <row r="353" spans="1:7" x14ac:dyDescent="0.2">
      <c r="A353" s="8">
        <v>2014</v>
      </c>
      <c r="B353" s="6" t="s">
        <v>20</v>
      </c>
      <c r="C353" s="11">
        <v>3559</v>
      </c>
      <c r="D353" s="11">
        <v>3997</v>
      </c>
      <c r="E353" s="11">
        <v>3894</v>
      </c>
      <c r="F353" s="11">
        <v>199</v>
      </c>
      <c r="G353" s="11">
        <v>217</v>
      </c>
    </row>
    <row r="354" spans="1:7" x14ac:dyDescent="0.2">
      <c r="A354" s="8">
        <v>2014</v>
      </c>
      <c r="B354" s="6" t="s">
        <v>33</v>
      </c>
      <c r="C354" s="11">
        <v>1003</v>
      </c>
      <c r="D354" s="11">
        <v>862</v>
      </c>
      <c r="E354" s="11">
        <v>769</v>
      </c>
      <c r="F354" s="11">
        <v>47</v>
      </c>
      <c r="G354" s="11">
        <v>20</v>
      </c>
    </row>
    <row r="355" spans="1:7" x14ac:dyDescent="0.2">
      <c r="A355" s="8">
        <v>2014</v>
      </c>
      <c r="B355" s="6" t="s">
        <v>21</v>
      </c>
      <c r="C355" s="11">
        <v>849</v>
      </c>
      <c r="D355" s="11">
        <v>911</v>
      </c>
      <c r="E355" s="11">
        <v>628</v>
      </c>
      <c r="F355" s="11">
        <v>44</v>
      </c>
      <c r="G355" s="11">
        <v>29</v>
      </c>
    </row>
    <row r="356" spans="1:7" x14ac:dyDescent="0.2">
      <c r="A356" s="8">
        <v>2014</v>
      </c>
      <c r="B356" s="6" t="s">
        <v>22</v>
      </c>
      <c r="C356" s="11">
        <v>1549</v>
      </c>
      <c r="D356" s="11">
        <v>2416</v>
      </c>
      <c r="E356" s="11">
        <v>1210</v>
      </c>
      <c r="F356" s="11">
        <v>75</v>
      </c>
      <c r="G356" s="11">
        <v>33</v>
      </c>
    </row>
    <row r="357" spans="1:7" x14ac:dyDescent="0.2">
      <c r="A357" s="8">
        <v>2014</v>
      </c>
      <c r="B357" s="6" t="s">
        <v>23</v>
      </c>
      <c r="C357" s="11">
        <v>1896</v>
      </c>
      <c r="D357" s="11">
        <v>2207</v>
      </c>
      <c r="E357" s="11">
        <v>1545</v>
      </c>
      <c r="F357" s="11">
        <v>132</v>
      </c>
      <c r="G357" s="11">
        <v>64</v>
      </c>
    </row>
    <row r="358" spans="1:7" x14ac:dyDescent="0.2">
      <c r="A358" s="8">
        <v>2014</v>
      </c>
      <c r="B358" s="6" t="s">
        <v>24</v>
      </c>
      <c r="C358" s="11">
        <v>2153</v>
      </c>
      <c r="D358" s="11">
        <v>2901</v>
      </c>
      <c r="E358" s="11">
        <v>1436</v>
      </c>
      <c r="F358" s="11">
        <v>123</v>
      </c>
      <c r="G358" s="11">
        <v>41</v>
      </c>
    </row>
    <row r="359" spans="1:7" x14ac:dyDescent="0.2">
      <c r="A359" s="8">
        <v>2014</v>
      </c>
      <c r="B359" s="6" t="s">
        <v>25</v>
      </c>
      <c r="C359" s="11">
        <v>2122</v>
      </c>
      <c r="D359" s="11">
        <v>1591</v>
      </c>
      <c r="E359" s="11">
        <v>1271</v>
      </c>
      <c r="F359" s="11">
        <v>85</v>
      </c>
      <c r="G359" s="11">
        <v>39</v>
      </c>
    </row>
    <row r="360" spans="1:7" x14ac:dyDescent="0.2">
      <c r="A360" s="8">
        <v>2014</v>
      </c>
      <c r="B360" s="6" t="s">
        <v>26</v>
      </c>
      <c r="C360" s="11">
        <v>2335</v>
      </c>
      <c r="D360" s="11">
        <v>3051</v>
      </c>
      <c r="E360" s="11">
        <v>1855</v>
      </c>
      <c r="F360" s="11">
        <v>134</v>
      </c>
      <c r="G360" s="11">
        <v>65</v>
      </c>
    </row>
    <row r="361" spans="1:7" x14ac:dyDescent="0.2">
      <c r="A361" s="8">
        <v>2014</v>
      </c>
      <c r="B361" s="6" t="s">
        <v>27</v>
      </c>
      <c r="C361" s="11">
        <v>765</v>
      </c>
      <c r="D361" s="11">
        <v>681</v>
      </c>
      <c r="E361" s="11">
        <v>721</v>
      </c>
      <c r="F361" s="11">
        <v>35</v>
      </c>
      <c r="G361" s="11">
        <v>27</v>
      </c>
    </row>
    <row r="362" spans="1:7" x14ac:dyDescent="0.2">
      <c r="A362" s="8">
        <v>2014</v>
      </c>
      <c r="B362" s="6" t="s">
        <v>34</v>
      </c>
      <c r="C362" s="11">
        <v>4777</v>
      </c>
      <c r="D362" s="11">
        <v>5089</v>
      </c>
      <c r="E362" s="11">
        <v>3692</v>
      </c>
      <c r="F362" s="11">
        <v>256</v>
      </c>
      <c r="G362" s="11">
        <v>138</v>
      </c>
    </row>
    <row r="363" spans="1:7" x14ac:dyDescent="0.2">
      <c r="A363" s="8">
        <v>2014</v>
      </c>
      <c r="B363" s="6" t="s">
        <v>28</v>
      </c>
      <c r="C363" s="11">
        <v>1252</v>
      </c>
      <c r="D363" s="11">
        <v>1771</v>
      </c>
      <c r="E363" s="11">
        <v>1014</v>
      </c>
      <c r="F363" s="11">
        <v>66</v>
      </c>
      <c r="G363" s="11">
        <v>21</v>
      </c>
    </row>
    <row r="364" spans="1:7" x14ac:dyDescent="0.2">
      <c r="A364" s="8">
        <v>2014</v>
      </c>
      <c r="B364" s="6" t="s">
        <v>29</v>
      </c>
      <c r="C364" s="11">
        <v>1153</v>
      </c>
      <c r="D364" s="11">
        <v>999</v>
      </c>
      <c r="E364" s="11">
        <v>1053</v>
      </c>
      <c r="F364" s="11">
        <v>55</v>
      </c>
      <c r="G364" s="11">
        <v>91</v>
      </c>
    </row>
    <row r="365" spans="1:7" x14ac:dyDescent="0.2">
      <c r="A365" s="9">
        <v>2013</v>
      </c>
      <c r="B365" s="7" t="s">
        <v>2</v>
      </c>
      <c r="C365" s="10">
        <v>71916</v>
      </c>
      <c r="D365" s="10">
        <v>87509</v>
      </c>
      <c r="E365" s="10">
        <v>58940</v>
      </c>
      <c r="F365" s="10">
        <v>3984</v>
      </c>
      <c r="G365" s="10">
        <v>2171</v>
      </c>
    </row>
    <row r="366" spans="1:7" x14ac:dyDescent="0.2">
      <c r="A366" s="8">
        <v>2013</v>
      </c>
      <c r="B366" s="6" t="s">
        <v>3</v>
      </c>
      <c r="C366" s="11">
        <v>835</v>
      </c>
      <c r="D366" s="11">
        <v>875</v>
      </c>
      <c r="E366" s="11">
        <v>559</v>
      </c>
      <c r="F366" s="11">
        <v>41</v>
      </c>
      <c r="G366" s="11">
        <v>15</v>
      </c>
    </row>
    <row r="367" spans="1:7" x14ac:dyDescent="0.2">
      <c r="A367" s="8">
        <v>2013</v>
      </c>
      <c r="B367" s="6" t="s">
        <v>4</v>
      </c>
      <c r="C367" s="11">
        <v>1535</v>
      </c>
      <c r="D367" s="11">
        <v>2152</v>
      </c>
      <c r="E367" s="11">
        <v>1150</v>
      </c>
      <c r="F367" s="11">
        <v>96</v>
      </c>
      <c r="G367" s="11">
        <v>44</v>
      </c>
    </row>
    <row r="368" spans="1:7" x14ac:dyDescent="0.2">
      <c r="A368" s="8">
        <v>2013</v>
      </c>
      <c r="B368" s="6" t="s">
        <v>5</v>
      </c>
      <c r="C368" s="11">
        <v>597</v>
      </c>
      <c r="D368" s="11">
        <v>674</v>
      </c>
      <c r="E368" s="11">
        <v>548</v>
      </c>
      <c r="F368" s="11">
        <v>36</v>
      </c>
      <c r="G368" s="11">
        <v>26</v>
      </c>
    </row>
    <row r="369" spans="1:7" x14ac:dyDescent="0.2">
      <c r="A369" s="8">
        <v>2013</v>
      </c>
      <c r="B369" s="6" t="s">
        <v>6</v>
      </c>
      <c r="C369" s="11">
        <v>828</v>
      </c>
      <c r="D369" s="11">
        <v>945</v>
      </c>
      <c r="E369" s="11">
        <v>609</v>
      </c>
      <c r="F369" s="11">
        <v>40</v>
      </c>
      <c r="G369" s="11">
        <v>25</v>
      </c>
    </row>
    <row r="370" spans="1:7" x14ac:dyDescent="0.2">
      <c r="A370" s="8">
        <v>2013</v>
      </c>
      <c r="B370" s="6" t="s">
        <v>31</v>
      </c>
      <c r="C370" s="11">
        <v>1929</v>
      </c>
      <c r="D370" s="11">
        <v>2708</v>
      </c>
      <c r="E370" s="11">
        <v>1584</v>
      </c>
      <c r="F370" s="11">
        <v>130</v>
      </c>
      <c r="G370" s="11">
        <v>56</v>
      </c>
    </row>
    <row r="371" spans="1:7" x14ac:dyDescent="0.2">
      <c r="A371" s="8">
        <v>2013</v>
      </c>
      <c r="B371" s="6" t="s">
        <v>7</v>
      </c>
      <c r="C371" s="11">
        <v>629</v>
      </c>
      <c r="D371" s="11">
        <v>554</v>
      </c>
      <c r="E371" s="11">
        <v>411</v>
      </c>
      <c r="F371" s="11">
        <v>36</v>
      </c>
      <c r="G371" s="11">
        <v>12</v>
      </c>
    </row>
    <row r="372" spans="1:7" x14ac:dyDescent="0.2">
      <c r="A372" s="8">
        <v>2013</v>
      </c>
      <c r="B372" s="6" t="s">
        <v>8</v>
      </c>
      <c r="C372" s="11">
        <v>2867</v>
      </c>
      <c r="D372" s="11">
        <v>2226</v>
      </c>
      <c r="E372" s="11">
        <v>2616</v>
      </c>
      <c r="F372" s="11">
        <v>129</v>
      </c>
      <c r="G372" s="11">
        <v>87</v>
      </c>
    </row>
    <row r="373" spans="1:7" x14ac:dyDescent="0.2">
      <c r="A373" s="8">
        <v>2013</v>
      </c>
      <c r="B373" s="6" t="s">
        <v>9</v>
      </c>
      <c r="C373" s="11">
        <v>2012</v>
      </c>
      <c r="D373" s="11">
        <v>2781</v>
      </c>
      <c r="E373" s="11">
        <v>1801</v>
      </c>
      <c r="F373" s="11">
        <v>122</v>
      </c>
      <c r="G373" s="11">
        <v>75</v>
      </c>
    </row>
    <row r="374" spans="1:7" x14ac:dyDescent="0.2">
      <c r="A374" s="8">
        <v>2013</v>
      </c>
      <c r="B374" s="6" t="s">
        <v>30</v>
      </c>
      <c r="C374" s="11">
        <v>8629</v>
      </c>
      <c r="D374" s="11">
        <v>15787</v>
      </c>
      <c r="E374" s="11">
        <v>6960</v>
      </c>
      <c r="F374" s="11">
        <v>663</v>
      </c>
      <c r="G374" s="11">
        <v>111</v>
      </c>
    </row>
    <row r="375" spans="1:7" x14ac:dyDescent="0.2">
      <c r="A375" s="8">
        <v>2013</v>
      </c>
      <c r="B375" s="6" t="s">
        <v>10</v>
      </c>
      <c r="C375" s="11">
        <v>1267</v>
      </c>
      <c r="D375" s="11">
        <v>1715</v>
      </c>
      <c r="E375" s="11">
        <v>1177</v>
      </c>
      <c r="F375" s="11">
        <v>70</v>
      </c>
      <c r="G375" s="11">
        <v>49</v>
      </c>
    </row>
    <row r="376" spans="1:7" x14ac:dyDescent="0.2">
      <c r="A376" s="8">
        <v>2013</v>
      </c>
      <c r="B376" s="6" t="s">
        <v>11</v>
      </c>
      <c r="C376" s="11">
        <v>2609</v>
      </c>
      <c r="D376" s="11">
        <v>3221</v>
      </c>
      <c r="E376" s="11">
        <v>2143</v>
      </c>
      <c r="F376" s="11">
        <v>169</v>
      </c>
      <c r="G376" s="11">
        <v>105</v>
      </c>
    </row>
    <row r="377" spans="1:7" x14ac:dyDescent="0.2">
      <c r="A377" s="8">
        <v>2013</v>
      </c>
      <c r="B377" s="6" t="s">
        <v>12</v>
      </c>
      <c r="C377" s="11">
        <v>2370</v>
      </c>
      <c r="D377" s="11">
        <v>1900</v>
      </c>
      <c r="E377" s="11">
        <v>1672</v>
      </c>
      <c r="F377" s="11">
        <v>141</v>
      </c>
      <c r="G377" s="11">
        <v>108</v>
      </c>
    </row>
    <row r="378" spans="1:7" x14ac:dyDescent="0.2">
      <c r="A378" s="8">
        <v>2013</v>
      </c>
      <c r="B378" s="6" t="s">
        <v>13</v>
      </c>
      <c r="C378" s="11">
        <v>1931</v>
      </c>
      <c r="D378" s="11">
        <v>1311</v>
      </c>
      <c r="E378" s="11">
        <v>1929</v>
      </c>
      <c r="F378" s="11">
        <v>56</v>
      </c>
      <c r="G378" s="11">
        <v>71</v>
      </c>
    </row>
    <row r="379" spans="1:7" x14ac:dyDescent="0.2">
      <c r="A379" s="8">
        <v>2013</v>
      </c>
      <c r="B379" s="6" t="s">
        <v>14</v>
      </c>
      <c r="C379" s="11">
        <v>4017</v>
      </c>
      <c r="D379" s="11">
        <v>6413</v>
      </c>
      <c r="E379" s="11">
        <v>3389</v>
      </c>
      <c r="F379" s="11">
        <v>247</v>
      </c>
      <c r="G379" s="11">
        <v>119</v>
      </c>
    </row>
    <row r="380" spans="1:7" x14ac:dyDescent="0.2">
      <c r="A380" s="8">
        <v>2013</v>
      </c>
      <c r="B380" s="6" t="s">
        <v>15</v>
      </c>
      <c r="C380" s="11">
        <v>7010</v>
      </c>
      <c r="D380" s="11">
        <v>8034</v>
      </c>
      <c r="E380" s="11">
        <v>4893</v>
      </c>
      <c r="F380" s="11">
        <v>308</v>
      </c>
      <c r="G380" s="11">
        <v>208</v>
      </c>
    </row>
    <row r="381" spans="1:7" x14ac:dyDescent="0.2">
      <c r="A381" s="8">
        <v>2013</v>
      </c>
      <c r="B381" s="6" t="s">
        <v>32</v>
      </c>
      <c r="C381" s="11">
        <v>2739</v>
      </c>
      <c r="D381" s="11">
        <v>2490</v>
      </c>
      <c r="E381" s="11">
        <v>2123</v>
      </c>
      <c r="F381" s="11">
        <v>118</v>
      </c>
      <c r="G381" s="11">
        <v>93</v>
      </c>
    </row>
    <row r="382" spans="1:7" x14ac:dyDescent="0.2">
      <c r="A382" s="8">
        <v>2013</v>
      </c>
      <c r="B382" s="6" t="s">
        <v>16</v>
      </c>
      <c r="C382" s="11">
        <v>1188</v>
      </c>
      <c r="D382" s="11">
        <v>1057</v>
      </c>
      <c r="E382" s="11">
        <v>851</v>
      </c>
      <c r="F382" s="11">
        <v>60</v>
      </c>
      <c r="G382" s="11">
        <v>28</v>
      </c>
    </row>
    <row r="383" spans="1:7" x14ac:dyDescent="0.2">
      <c r="A383" s="8">
        <v>2013</v>
      </c>
      <c r="B383" s="6" t="s">
        <v>17</v>
      </c>
      <c r="C383" s="11">
        <v>976</v>
      </c>
      <c r="D383" s="11">
        <v>742</v>
      </c>
      <c r="E383" s="11">
        <v>822</v>
      </c>
      <c r="F383" s="11">
        <v>40</v>
      </c>
      <c r="G383" s="11">
        <v>26</v>
      </c>
    </row>
    <row r="384" spans="1:7" x14ac:dyDescent="0.2">
      <c r="A384" s="8">
        <v>2013</v>
      </c>
      <c r="B384" s="6" t="s">
        <v>18</v>
      </c>
      <c r="C384" s="11">
        <v>3017</v>
      </c>
      <c r="D384" s="11">
        <v>4077</v>
      </c>
      <c r="E384" s="11">
        <v>2073</v>
      </c>
      <c r="F384" s="11">
        <v>164</v>
      </c>
      <c r="G384" s="11">
        <v>40</v>
      </c>
    </row>
    <row r="385" spans="1:7" x14ac:dyDescent="0.2">
      <c r="A385" s="8">
        <v>2013</v>
      </c>
      <c r="B385" s="6" t="s">
        <v>19</v>
      </c>
      <c r="C385" s="11">
        <v>2828</v>
      </c>
      <c r="D385" s="11">
        <v>2185</v>
      </c>
      <c r="E385" s="11">
        <v>2954</v>
      </c>
      <c r="F385" s="11">
        <v>104</v>
      </c>
      <c r="G385" s="11">
        <v>109</v>
      </c>
    </row>
    <row r="386" spans="1:7" x14ac:dyDescent="0.2">
      <c r="A386" s="8">
        <v>2013</v>
      </c>
      <c r="B386" s="6" t="s">
        <v>20</v>
      </c>
      <c r="C386" s="11">
        <v>3042</v>
      </c>
      <c r="D386" s="11">
        <v>3512</v>
      </c>
      <c r="E386" s="11">
        <v>3413</v>
      </c>
      <c r="F386" s="11">
        <v>172</v>
      </c>
      <c r="G386" s="11">
        <v>198</v>
      </c>
    </row>
    <row r="387" spans="1:7" x14ac:dyDescent="0.2">
      <c r="A387" s="8">
        <v>2013</v>
      </c>
      <c r="B387" s="6" t="s">
        <v>33</v>
      </c>
      <c r="C387" s="11">
        <v>978</v>
      </c>
      <c r="D387" s="11">
        <v>879</v>
      </c>
      <c r="E387" s="11">
        <v>741</v>
      </c>
      <c r="F387" s="11">
        <v>49</v>
      </c>
      <c r="G387" s="11">
        <v>20</v>
      </c>
    </row>
    <row r="388" spans="1:7" x14ac:dyDescent="0.2">
      <c r="A388" s="8">
        <v>2013</v>
      </c>
      <c r="B388" s="6" t="s">
        <v>21</v>
      </c>
      <c r="C388" s="11">
        <v>810</v>
      </c>
      <c r="D388" s="11">
        <v>927</v>
      </c>
      <c r="E388" s="11">
        <v>655</v>
      </c>
      <c r="F388" s="11">
        <v>48</v>
      </c>
      <c r="G388" s="11">
        <v>29</v>
      </c>
    </row>
    <row r="389" spans="1:7" x14ac:dyDescent="0.2">
      <c r="A389" s="8">
        <v>2013</v>
      </c>
      <c r="B389" s="6" t="s">
        <v>22</v>
      </c>
      <c r="C389" s="11">
        <v>1463</v>
      </c>
      <c r="D389" s="11">
        <v>2421</v>
      </c>
      <c r="E389" s="11">
        <v>1261</v>
      </c>
      <c r="F389" s="11">
        <v>77</v>
      </c>
      <c r="G389" s="11">
        <v>36</v>
      </c>
    </row>
    <row r="390" spans="1:7" x14ac:dyDescent="0.2">
      <c r="A390" s="8">
        <v>2013</v>
      </c>
      <c r="B390" s="6" t="s">
        <v>23</v>
      </c>
      <c r="C390" s="11">
        <v>1815</v>
      </c>
      <c r="D390" s="11">
        <v>2090</v>
      </c>
      <c r="E390" s="11">
        <v>1583</v>
      </c>
      <c r="F390" s="11">
        <v>132</v>
      </c>
      <c r="G390" s="11">
        <v>63</v>
      </c>
    </row>
    <row r="391" spans="1:7" x14ac:dyDescent="0.2">
      <c r="A391" s="8">
        <v>2013</v>
      </c>
      <c r="B391" s="6" t="s">
        <v>24</v>
      </c>
      <c r="C391" s="11">
        <v>2012</v>
      </c>
      <c r="D391" s="11">
        <v>2728</v>
      </c>
      <c r="E391" s="11">
        <v>1403</v>
      </c>
      <c r="F391" s="11">
        <v>113</v>
      </c>
      <c r="G391" s="11">
        <v>38</v>
      </c>
    </row>
    <row r="392" spans="1:7" x14ac:dyDescent="0.2">
      <c r="A392" s="8">
        <v>2013</v>
      </c>
      <c r="B392" s="6" t="s">
        <v>25</v>
      </c>
      <c r="C392" s="11">
        <v>1990</v>
      </c>
      <c r="D392" s="11">
        <v>1550</v>
      </c>
      <c r="E392" s="11">
        <v>1200</v>
      </c>
      <c r="F392" s="11">
        <v>84</v>
      </c>
      <c r="G392" s="11">
        <v>43</v>
      </c>
    </row>
    <row r="393" spans="1:7" x14ac:dyDescent="0.2">
      <c r="A393" s="8">
        <v>2013</v>
      </c>
      <c r="B393" s="6" t="s">
        <v>26</v>
      </c>
      <c r="C393" s="11">
        <v>2268</v>
      </c>
      <c r="D393" s="11">
        <v>3028</v>
      </c>
      <c r="E393" s="11">
        <v>1892</v>
      </c>
      <c r="F393" s="11">
        <v>134</v>
      </c>
      <c r="G393" s="11">
        <v>65</v>
      </c>
    </row>
    <row r="394" spans="1:7" x14ac:dyDescent="0.2">
      <c r="A394" s="8">
        <v>2013</v>
      </c>
      <c r="B394" s="6" t="s">
        <v>27</v>
      </c>
      <c r="C394" s="11">
        <v>764</v>
      </c>
      <c r="D394" s="11">
        <v>681</v>
      </c>
      <c r="E394" s="11">
        <v>715</v>
      </c>
      <c r="F394" s="11">
        <v>35</v>
      </c>
      <c r="G394" s="11">
        <v>27</v>
      </c>
    </row>
    <row r="395" spans="1:7" x14ac:dyDescent="0.2">
      <c r="A395" s="8">
        <v>2013</v>
      </c>
      <c r="B395" s="6" t="s">
        <v>34</v>
      </c>
      <c r="C395" s="11">
        <v>4653</v>
      </c>
      <c r="D395" s="11">
        <v>5042</v>
      </c>
      <c r="E395" s="11">
        <v>3769</v>
      </c>
      <c r="F395" s="11">
        <v>250</v>
      </c>
      <c r="G395" s="11">
        <v>139</v>
      </c>
    </row>
    <row r="396" spans="1:7" x14ac:dyDescent="0.2">
      <c r="A396" s="8">
        <v>2013</v>
      </c>
      <c r="B396" s="6" t="s">
        <v>28</v>
      </c>
      <c r="C396" s="11">
        <v>1161</v>
      </c>
      <c r="D396" s="11">
        <v>1805</v>
      </c>
      <c r="E396" s="11">
        <v>987</v>
      </c>
      <c r="F396" s="11">
        <v>66</v>
      </c>
      <c r="G396" s="11">
        <v>21</v>
      </c>
    </row>
    <row r="397" spans="1:7" x14ac:dyDescent="0.2">
      <c r="A397" s="8">
        <v>2013</v>
      </c>
      <c r="B397" s="6" t="s">
        <v>29</v>
      </c>
      <c r="C397" s="11">
        <v>1147</v>
      </c>
      <c r="D397" s="11">
        <v>999</v>
      </c>
      <c r="E397" s="11">
        <v>1057</v>
      </c>
      <c r="F397" s="11">
        <v>54</v>
      </c>
      <c r="G397" s="11">
        <v>85</v>
      </c>
    </row>
    <row r="398" spans="1:7" x14ac:dyDescent="0.2">
      <c r="A398" s="9">
        <v>2012</v>
      </c>
      <c r="B398" s="7" t="s">
        <v>2</v>
      </c>
      <c r="C398" s="10">
        <v>68429</v>
      </c>
      <c r="D398" s="10">
        <v>85656</v>
      </c>
      <c r="E398" s="10">
        <v>54439</v>
      </c>
      <c r="F398" s="10">
        <v>3594</v>
      </c>
      <c r="G398" s="10">
        <v>2058</v>
      </c>
    </row>
    <row r="399" spans="1:7" x14ac:dyDescent="0.2">
      <c r="A399" s="8">
        <v>2012</v>
      </c>
      <c r="B399" s="6" t="s">
        <v>3</v>
      </c>
      <c r="C399" s="11">
        <v>808</v>
      </c>
      <c r="D399" s="11">
        <v>878</v>
      </c>
      <c r="E399" s="11">
        <v>526</v>
      </c>
      <c r="F399" s="11">
        <v>36</v>
      </c>
      <c r="G399" s="11">
        <v>15</v>
      </c>
    </row>
    <row r="400" spans="1:7" x14ac:dyDescent="0.2">
      <c r="A400" s="8">
        <v>2012</v>
      </c>
      <c r="B400" s="6" t="s">
        <v>4</v>
      </c>
      <c r="C400" s="11">
        <v>1468</v>
      </c>
      <c r="D400" s="11">
        <v>2166</v>
      </c>
      <c r="E400" s="11">
        <v>1089</v>
      </c>
      <c r="F400" s="11">
        <v>77</v>
      </c>
      <c r="G400" s="11">
        <v>46</v>
      </c>
    </row>
    <row r="401" spans="1:7" x14ac:dyDescent="0.2">
      <c r="A401" s="8">
        <v>2012</v>
      </c>
      <c r="B401" s="6" t="s">
        <v>5</v>
      </c>
      <c r="C401" s="11">
        <v>549</v>
      </c>
      <c r="D401" s="11">
        <v>673</v>
      </c>
      <c r="E401" s="11">
        <v>514</v>
      </c>
      <c r="F401" s="11">
        <v>31</v>
      </c>
      <c r="G401" s="11">
        <v>26</v>
      </c>
    </row>
    <row r="402" spans="1:7" x14ac:dyDescent="0.2">
      <c r="A402" s="8">
        <v>2012</v>
      </c>
      <c r="B402" s="6" t="s">
        <v>6</v>
      </c>
      <c r="C402" s="11">
        <v>791</v>
      </c>
      <c r="D402" s="11">
        <v>860</v>
      </c>
      <c r="E402" s="11">
        <v>549</v>
      </c>
      <c r="F402" s="11">
        <v>35</v>
      </c>
      <c r="G402" s="11">
        <v>24</v>
      </c>
    </row>
    <row r="403" spans="1:7" x14ac:dyDescent="0.2">
      <c r="A403" s="8">
        <v>2012</v>
      </c>
      <c r="B403" s="6" t="s">
        <v>31</v>
      </c>
      <c r="C403" s="11">
        <v>1762</v>
      </c>
      <c r="D403" s="11">
        <v>2658</v>
      </c>
      <c r="E403" s="11">
        <v>1374</v>
      </c>
      <c r="F403" s="11">
        <v>106</v>
      </c>
      <c r="G403" s="11">
        <v>52</v>
      </c>
    </row>
    <row r="404" spans="1:7" x14ac:dyDescent="0.2">
      <c r="A404" s="8">
        <v>2012</v>
      </c>
      <c r="B404" s="6" t="s">
        <v>7</v>
      </c>
      <c r="C404" s="11">
        <v>552</v>
      </c>
      <c r="D404" s="11">
        <v>583</v>
      </c>
      <c r="E404" s="11">
        <v>539</v>
      </c>
      <c r="F404" s="11">
        <v>30</v>
      </c>
      <c r="G404" s="11">
        <v>11</v>
      </c>
    </row>
    <row r="405" spans="1:7" x14ac:dyDescent="0.2">
      <c r="A405" s="8">
        <v>2012</v>
      </c>
      <c r="B405" s="6" t="s">
        <v>8</v>
      </c>
      <c r="C405" s="11">
        <v>2732</v>
      </c>
      <c r="D405" s="11">
        <v>2077</v>
      </c>
      <c r="E405" s="11">
        <v>2528</v>
      </c>
      <c r="F405" s="11">
        <v>121</v>
      </c>
      <c r="G405" s="11">
        <v>84</v>
      </c>
    </row>
    <row r="406" spans="1:7" x14ac:dyDescent="0.2">
      <c r="A406" s="8">
        <v>2012</v>
      </c>
      <c r="B406" s="6" t="s">
        <v>9</v>
      </c>
      <c r="C406" s="11">
        <v>1892</v>
      </c>
      <c r="D406" s="11">
        <v>2767</v>
      </c>
      <c r="E406" s="11">
        <v>1682</v>
      </c>
      <c r="F406" s="11">
        <v>113</v>
      </c>
      <c r="G406" s="11">
        <v>75</v>
      </c>
    </row>
    <row r="407" spans="1:7" x14ac:dyDescent="0.2">
      <c r="A407" s="8">
        <v>2012</v>
      </c>
      <c r="B407" s="6" t="s">
        <v>30</v>
      </c>
      <c r="C407" s="11">
        <v>8377</v>
      </c>
      <c r="D407" s="11">
        <v>16107</v>
      </c>
      <c r="E407" s="11">
        <v>6287</v>
      </c>
      <c r="F407" s="11">
        <v>644</v>
      </c>
      <c r="G407" s="11">
        <v>111</v>
      </c>
    </row>
    <row r="408" spans="1:7" x14ac:dyDescent="0.2">
      <c r="A408" s="8">
        <v>2012</v>
      </c>
      <c r="B408" s="6" t="s">
        <v>10</v>
      </c>
      <c r="C408" s="11">
        <v>1299</v>
      </c>
      <c r="D408" s="11">
        <v>1569</v>
      </c>
      <c r="E408" s="11">
        <v>979</v>
      </c>
      <c r="F408" s="11">
        <v>54</v>
      </c>
      <c r="G408" s="11">
        <v>50</v>
      </c>
    </row>
    <row r="409" spans="1:7" x14ac:dyDescent="0.2">
      <c r="A409" s="8">
        <v>2012</v>
      </c>
      <c r="B409" s="6" t="s">
        <v>11</v>
      </c>
      <c r="C409" s="11">
        <v>2541</v>
      </c>
      <c r="D409" s="11">
        <v>3064</v>
      </c>
      <c r="E409" s="11">
        <v>2077</v>
      </c>
      <c r="F409" s="11">
        <v>143</v>
      </c>
      <c r="G409" s="11">
        <v>104</v>
      </c>
    </row>
    <row r="410" spans="1:7" x14ac:dyDescent="0.2">
      <c r="A410" s="8">
        <v>2012</v>
      </c>
      <c r="B410" s="6" t="s">
        <v>12</v>
      </c>
      <c r="C410" s="11">
        <v>2233</v>
      </c>
      <c r="D410" s="11">
        <v>1807</v>
      </c>
      <c r="E410" s="11">
        <v>1624</v>
      </c>
      <c r="F410" s="11">
        <v>125</v>
      </c>
      <c r="G410" s="11">
        <v>105</v>
      </c>
    </row>
    <row r="411" spans="1:7" x14ac:dyDescent="0.2">
      <c r="A411" s="8">
        <v>2012</v>
      </c>
      <c r="B411" s="6" t="s">
        <v>13</v>
      </c>
      <c r="C411" s="11">
        <v>1950</v>
      </c>
      <c r="D411" s="11">
        <v>1320</v>
      </c>
      <c r="E411" s="11">
        <v>1941</v>
      </c>
      <c r="F411" s="11">
        <v>48</v>
      </c>
      <c r="G411" s="11">
        <v>74</v>
      </c>
    </row>
    <row r="412" spans="1:7" x14ac:dyDescent="0.2">
      <c r="A412" s="8">
        <v>2012</v>
      </c>
      <c r="B412" s="6" t="s">
        <v>14</v>
      </c>
      <c r="C412" s="11">
        <v>3885</v>
      </c>
      <c r="D412" s="11">
        <v>6406</v>
      </c>
      <c r="E412" s="11">
        <v>3005</v>
      </c>
      <c r="F412" s="11">
        <v>226</v>
      </c>
      <c r="G412" s="11">
        <v>119</v>
      </c>
    </row>
    <row r="413" spans="1:7" x14ac:dyDescent="0.2">
      <c r="A413" s="8">
        <v>2012</v>
      </c>
      <c r="B413" s="6" t="s">
        <v>15</v>
      </c>
      <c r="C413" s="11">
        <v>6685</v>
      </c>
      <c r="D413" s="11">
        <v>8022</v>
      </c>
      <c r="E413" s="11">
        <v>4521</v>
      </c>
      <c r="F413" s="11">
        <v>284</v>
      </c>
      <c r="G413" s="11">
        <v>199</v>
      </c>
    </row>
    <row r="414" spans="1:7" x14ac:dyDescent="0.2">
      <c r="A414" s="8">
        <v>2012</v>
      </c>
      <c r="B414" s="6" t="s">
        <v>32</v>
      </c>
      <c r="C414" s="11">
        <v>2634</v>
      </c>
      <c r="D414" s="11">
        <v>2535</v>
      </c>
      <c r="E414" s="11">
        <v>1975</v>
      </c>
      <c r="F414" s="11">
        <v>106</v>
      </c>
      <c r="G414" s="11">
        <v>91</v>
      </c>
    </row>
    <row r="415" spans="1:7" x14ac:dyDescent="0.2">
      <c r="A415" s="8">
        <v>2012</v>
      </c>
      <c r="B415" s="6" t="s">
        <v>16</v>
      </c>
      <c r="C415" s="11">
        <v>1123</v>
      </c>
      <c r="D415" s="11">
        <v>1005</v>
      </c>
      <c r="E415" s="11">
        <v>900</v>
      </c>
      <c r="F415" s="11">
        <v>53</v>
      </c>
      <c r="G415" s="11">
        <v>32</v>
      </c>
    </row>
    <row r="416" spans="1:7" x14ac:dyDescent="0.2">
      <c r="A416" s="8">
        <v>2012</v>
      </c>
      <c r="B416" s="6" t="s">
        <v>17</v>
      </c>
      <c r="C416" s="11">
        <v>908</v>
      </c>
      <c r="D416" s="11">
        <v>727</v>
      </c>
      <c r="E416" s="11">
        <v>820</v>
      </c>
      <c r="F416" s="11">
        <v>36</v>
      </c>
      <c r="G416" s="11">
        <v>27</v>
      </c>
    </row>
    <row r="417" spans="1:7" x14ac:dyDescent="0.2">
      <c r="A417" s="8">
        <v>2012</v>
      </c>
      <c r="B417" s="6" t="s">
        <v>18</v>
      </c>
      <c r="C417" s="11">
        <v>2436</v>
      </c>
      <c r="D417" s="11">
        <v>3442</v>
      </c>
      <c r="E417" s="11">
        <v>1468</v>
      </c>
      <c r="F417" s="11">
        <v>123</v>
      </c>
      <c r="G417" s="11">
        <v>38</v>
      </c>
    </row>
    <row r="418" spans="1:7" x14ac:dyDescent="0.2">
      <c r="A418" s="8">
        <v>2012</v>
      </c>
      <c r="B418" s="6" t="s">
        <v>19</v>
      </c>
      <c r="C418" s="11">
        <v>2731</v>
      </c>
      <c r="D418" s="11">
        <v>2088</v>
      </c>
      <c r="E418" s="11">
        <v>2797</v>
      </c>
      <c r="F418" s="11">
        <v>97</v>
      </c>
      <c r="G418" s="11">
        <v>104</v>
      </c>
    </row>
    <row r="419" spans="1:7" x14ac:dyDescent="0.2">
      <c r="A419" s="8">
        <v>2012</v>
      </c>
      <c r="B419" s="6" t="s">
        <v>20</v>
      </c>
      <c r="C419" s="11">
        <v>2972</v>
      </c>
      <c r="D419" s="11">
        <v>3624</v>
      </c>
      <c r="E419" s="11">
        <v>3180</v>
      </c>
      <c r="F419" s="11">
        <v>161</v>
      </c>
      <c r="G419" s="11">
        <v>111</v>
      </c>
    </row>
    <row r="420" spans="1:7" x14ac:dyDescent="0.2">
      <c r="A420" s="8">
        <v>2012</v>
      </c>
      <c r="B420" s="6" t="s">
        <v>33</v>
      </c>
      <c r="C420" s="11">
        <v>954</v>
      </c>
      <c r="D420" s="11">
        <v>886</v>
      </c>
      <c r="E420" s="11">
        <v>725</v>
      </c>
      <c r="F420" s="11">
        <v>42</v>
      </c>
      <c r="G420" s="11">
        <v>18</v>
      </c>
    </row>
    <row r="421" spans="1:7" x14ac:dyDescent="0.2">
      <c r="A421" s="8">
        <v>2012</v>
      </c>
      <c r="B421" s="6" t="s">
        <v>21</v>
      </c>
      <c r="C421" s="11">
        <v>829</v>
      </c>
      <c r="D421" s="11">
        <v>968</v>
      </c>
      <c r="E421" s="11">
        <v>596</v>
      </c>
      <c r="F421" s="11">
        <v>50</v>
      </c>
      <c r="G421" s="11">
        <v>28</v>
      </c>
    </row>
    <row r="422" spans="1:7" x14ac:dyDescent="0.2">
      <c r="A422" s="8">
        <v>2012</v>
      </c>
      <c r="B422" s="6" t="s">
        <v>22</v>
      </c>
      <c r="C422" s="11">
        <v>1428</v>
      </c>
      <c r="D422" s="11">
        <v>2003</v>
      </c>
      <c r="E422" s="11">
        <v>1209</v>
      </c>
      <c r="F422" s="11">
        <v>72</v>
      </c>
      <c r="G422" s="11">
        <v>36</v>
      </c>
    </row>
    <row r="423" spans="1:7" x14ac:dyDescent="0.2">
      <c r="A423" s="8">
        <v>2012</v>
      </c>
      <c r="B423" s="6" t="s">
        <v>23</v>
      </c>
      <c r="C423" s="11">
        <v>1786</v>
      </c>
      <c r="D423" s="11">
        <v>2053</v>
      </c>
      <c r="E423" s="11">
        <v>1435</v>
      </c>
      <c r="F423" s="11">
        <v>116</v>
      </c>
      <c r="G423" s="11">
        <v>60</v>
      </c>
    </row>
    <row r="424" spans="1:7" x14ac:dyDescent="0.2">
      <c r="A424" s="8">
        <v>2012</v>
      </c>
      <c r="B424" s="6" t="s">
        <v>24</v>
      </c>
      <c r="C424" s="11">
        <v>1573</v>
      </c>
      <c r="D424" s="11">
        <v>2495</v>
      </c>
      <c r="E424" s="11">
        <v>1206</v>
      </c>
      <c r="F424" s="11">
        <v>93</v>
      </c>
      <c r="G424" s="11">
        <v>46</v>
      </c>
    </row>
    <row r="425" spans="1:7" x14ac:dyDescent="0.2">
      <c r="A425" s="8">
        <v>2012</v>
      </c>
      <c r="B425" s="6" t="s">
        <v>25</v>
      </c>
      <c r="C425" s="11">
        <v>1907</v>
      </c>
      <c r="D425" s="11">
        <v>1504</v>
      </c>
      <c r="E425" s="11">
        <v>1035</v>
      </c>
      <c r="F425" s="11">
        <v>79</v>
      </c>
      <c r="G425" s="11">
        <v>40</v>
      </c>
    </row>
    <row r="426" spans="1:7" x14ac:dyDescent="0.2">
      <c r="A426" s="8">
        <v>2012</v>
      </c>
      <c r="B426" s="6" t="s">
        <v>26</v>
      </c>
      <c r="C426" s="11">
        <v>2149</v>
      </c>
      <c r="D426" s="11">
        <v>3020</v>
      </c>
      <c r="E426" s="11">
        <v>1761</v>
      </c>
      <c r="F426" s="11">
        <v>117</v>
      </c>
      <c r="G426" s="11">
        <v>62</v>
      </c>
    </row>
    <row r="427" spans="1:7" x14ac:dyDescent="0.2">
      <c r="A427" s="8">
        <v>2012</v>
      </c>
      <c r="B427" s="6" t="s">
        <v>27</v>
      </c>
      <c r="C427" s="11">
        <v>722</v>
      </c>
      <c r="D427" s="11">
        <v>515</v>
      </c>
      <c r="E427" s="11">
        <v>706</v>
      </c>
      <c r="F427" s="11">
        <v>32</v>
      </c>
      <c r="G427" s="11">
        <v>27</v>
      </c>
    </row>
    <row r="428" spans="1:7" x14ac:dyDescent="0.2">
      <c r="A428" s="8">
        <v>2012</v>
      </c>
      <c r="B428" s="6" t="s">
        <v>34</v>
      </c>
      <c r="C428" s="11">
        <v>4470</v>
      </c>
      <c r="D428" s="11">
        <v>4990</v>
      </c>
      <c r="E428" s="11">
        <v>3642</v>
      </c>
      <c r="F428" s="11">
        <v>236</v>
      </c>
      <c r="G428" s="11">
        <v>139</v>
      </c>
    </row>
    <row r="429" spans="1:7" x14ac:dyDescent="0.2">
      <c r="A429" s="8">
        <v>2012</v>
      </c>
      <c r="B429" s="6" t="s">
        <v>28</v>
      </c>
      <c r="C429" s="11">
        <v>1104</v>
      </c>
      <c r="D429" s="11">
        <v>1837</v>
      </c>
      <c r="E429" s="11">
        <v>898</v>
      </c>
      <c r="F429" s="11">
        <v>55</v>
      </c>
      <c r="G429" s="11">
        <v>19</v>
      </c>
    </row>
    <row r="430" spans="1:7" x14ac:dyDescent="0.2">
      <c r="A430" s="8">
        <v>2012</v>
      </c>
      <c r="B430" s="6" t="s">
        <v>29</v>
      </c>
      <c r="C430" s="11">
        <v>1179</v>
      </c>
      <c r="D430" s="11">
        <v>1007</v>
      </c>
      <c r="E430" s="11">
        <v>851</v>
      </c>
      <c r="F430" s="11">
        <v>53</v>
      </c>
      <c r="G430" s="11">
        <v>85</v>
      </c>
    </row>
  </sheetData>
  <sortState ref="B2:G397">
    <sortCondition ref="B2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zoomScaleNormal="100" zoomScaleSheetLayoutView="112" workbookViewId="0">
      <selection activeCell="F14" sqref="F14"/>
    </sheetView>
  </sheetViews>
  <sheetFormatPr baseColWidth="10" defaultRowHeight="15" x14ac:dyDescent="0.25"/>
  <cols>
    <col min="1" max="1" width="12.140625" customWidth="1"/>
    <col min="2" max="2" width="13.28515625" bestFit="1" customWidth="1"/>
    <col min="3" max="3" width="12.42578125" bestFit="1" customWidth="1"/>
    <col min="4" max="4" width="19.140625" customWidth="1"/>
    <col min="5" max="5" width="12.28515625" bestFit="1" customWidth="1"/>
    <col min="6" max="6" width="12" bestFit="1" customWidth="1"/>
  </cols>
  <sheetData>
    <row r="1" spans="1:6" s="4" customFormat="1" ht="42.75" x14ac:dyDescent="0.2">
      <c r="A1" s="1" t="s">
        <v>0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</row>
    <row r="2" spans="1:6" x14ac:dyDescent="0.25">
      <c r="A2" s="9">
        <v>2012</v>
      </c>
      <c r="B2" s="10">
        <f>SUMIFS(Concentrado!C$2:C430,Concentrado!$A$2:$A430,"="&amp;$A2,Concentrado!$B$2:$B430, "=Nacional")</f>
        <v>68429</v>
      </c>
      <c r="C2" s="10">
        <f>SUMIFS(Concentrado!D$2:D430,Concentrado!$A$2:$A430,"="&amp;$A2,Concentrado!$B$2:$B430, "=Nacional")</f>
        <v>85656</v>
      </c>
      <c r="D2" s="10">
        <f>SUMIFS(Concentrado!E$2:E430,Concentrado!$A$2:$A430,"="&amp;$A2,Concentrado!$B$2:$B430, "=Nacional")</f>
        <v>54439</v>
      </c>
      <c r="E2" s="10">
        <f>SUMIFS(Concentrado!F$2:F430,Concentrado!$A$2:$A430,"="&amp;$A2,Concentrado!$B$2:$B430, "=Nacional")</f>
        <v>3594</v>
      </c>
      <c r="F2" s="10">
        <f>SUMIFS(Concentrado!G$2:G430,Concentrado!$A$2:$A430,"="&amp;$A2,Concentrado!$B$2:$B430, "=Nacional")</f>
        <v>2058</v>
      </c>
    </row>
    <row r="3" spans="1:6" x14ac:dyDescent="0.25">
      <c r="A3" s="9">
        <v>2013</v>
      </c>
      <c r="B3" s="10">
        <f>SUMIFS(Concentrado!C$2:C431,Concentrado!$A$2:$A431,"="&amp;$A3,Concentrado!$B$2:$B431, "=Nacional")</f>
        <v>71916</v>
      </c>
      <c r="C3" s="10">
        <f>SUMIFS(Concentrado!D$2:D431,Concentrado!$A$2:$A431,"="&amp;$A3,Concentrado!$B$2:$B431, "=Nacional")</f>
        <v>87509</v>
      </c>
      <c r="D3" s="10">
        <f>SUMIFS(Concentrado!E$2:E431,Concentrado!$A$2:$A431,"="&amp;$A3,Concentrado!$B$2:$B431, "=Nacional")</f>
        <v>58940</v>
      </c>
      <c r="E3" s="10">
        <f>SUMIFS(Concentrado!F$2:F431,Concentrado!$A$2:$A431,"="&amp;$A3,Concentrado!$B$2:$B431, "=Nacional")</f>
        <v>3984</v>
      </c>
      <c r="F3" s="10">
        <f>SUMIFS(Concentrado!G$2:G431,Concentrado!$A$2:$A431,"="&amp;$A3,Concentrado!$B$2:$B431, "=Nacional")</f>
        <v>2171</v>
      </c>
    </row>
    <row r="4" spans="1:6" x14ac:dyDescent="0.25">
      <c r="A4" s="9">
        <v>2014</v>
      </c>
      <c r="B4" s="10">
        <f>SUMIFS(Concentrado!C$2:C432,Concentrado!$A$2:$A432,"="&amp;$A4,Concentrado!$B$2:$B432, "=Nacional")</f>
        <v>74579</v>
      </c>
      <c r="C4" s="10">
        <f>SUMIFS(Concentrado!D$2:D432,Concentrado!$A$2:$A432,"="&amp;$A4,Concentrado!$B$2:$B432, "=Nacional")</f>
        <v>89181</v>
      </c>
      <c r="D4" s="10">
        <f>SUMIFS(Concentrado!E$2:E432,Concentrado!$A$2:$A432,"="&amp;$A4,Concentrado!$B$2:$B432, "=Nacional")</f>
        <v>59871</v>
      </c>
      <c r="E4" s="10">
        <f>SUMIFS(Concentrado!F$2:F432,Concentrado!$A$2:$A432,"="&amp;$A4,Concentrado!$B$2:$B432, "=Nacional")</f>
        <v>4009</v>
      </c>
      <c r="F4" s="10">
        <f>SUMIFS(Concentrado!G$2:G432,Concentrado!$A$2:$A432,"="&amp;$A4,Concentrado!$B$2:$B432, "=Nacional")</f>
        <v>2141</v>
      </c>
    </row>
    <row r="5" spans="1:6" x14ac:dyDescent="0.25">
      <c r="A5" s="9">
        <v>2015</v>
      </c>
      <c r="B5" s="10">
        <f>SUMIFS(Concentrado!C$2:C433,Concentrado!$A$2:$A433,"="&amp;$A5,Concentrado!$B$2:$B433, "=Nacional")</f>
        <v>74462</v>
      </c>
      <c r="C5" s="10">
        <f>SUMIFS(Concentrado!D$2:D433,Concentrado!$A$2:$A433,"="&amp;$A5,Concentrado!$B$2:$B433, "=Nacional")</f>
        <v>87603</v>
      </c>
      <c r="D5" s="10">
        <f>SUMIFS(Concentrado!E$2:E433,Concentrado!$A$2:$A433,"="&amp;$A5,Concentrado!$B$2:$B433, "=Nacional")</f>
        <v>51914</v>
      </c>
      <c r="E5" s="10">
        <f>SUMIFS(Concentrado!F$2:F433,Concentrado!$A$2:$A433,"="&amp;$A5,Concentrado!$B$2:$B433, "=Nacional")</f>
        <v>4072</v>
      </c>
      <c r="F5" s="10">
        <f>SUMIFS(Concentrado!G$2:G433,Concentrado!$A$2:$A433,"="&amp;$A5,Concentrado!$B$2:$B433, "=Nacional")</f>
        <v>2153</v>
      </c>
    </row>
    <row r="6" spans="1:6" x14ac:dyDescent="0.25">
      <c r="A6" s="9">
        <v>2016</v>
      </c>
      <c r="B6" s="10">
        <f>SUMIFS(Concentrado!C$2:C434,Concentrado!$A$2:$A434,"="&amp;$A6,Concentrado!$B$2:$B434, "=Nacional")</f>
        <v>76416</v>
      </c>
      <c r="C6" s="10">
        <f>SUMIFS(Concentrado!D$2:D434,Concentrado!$A$2:$A434,"="&amp;$A6,Concentrado!$B$2:$B434, "=Nacional")</f>
        <v>89155</v>
      </c>
      <c r="D6" s="10">
        <f>SUMIFS(Concentrado!E$2:E434,Concentrado!$A$2:$A434,"="&amp;$A6,Concentrado!$B$2:$B434, "=Nacional")</f>
        <v>51721</v>
      </c>
      <c r="E6" s="10">
        <f>SUMIFS(Concentrado!F$2:F434,Concentrado!$A$2:$A434,"="&amp;$A6,Concentrado!$B$2:$B434, "=Nacional")</f>
        <v>4100</v>
      </c>
      <c r="F6" s="10">
        <f>SUMIFS(Concentrado!G$2:G434,Concentrado!$A$2:$A434,"="&amp;$A6,Concentrado!$B$2:$B434, "=Nacional")</f>
        <v>2235</v>
      </c>
    </row>
    <row r="7" spans="1:6" x14ac:dyDescent="0.25">
      <c r="A7" s="9">
        <v>2017</v>
      </c>
      <c r="B7" s="10">
        <f>SUMIFS(Concentrado!C$2:C435,Concentrado!$A$2:$A435,"="&amp;$A7,Concentrado!$B$2:$B435, "=Nacional")</f>
        <v>76201</v>
      </c>
      <c r="C7" s="10">
        <f>SUMIFS(Concentrado!D$2:D435,Concentrado!$A$2:$A435,"="&amp;$A7,Concentrado!$B$2:$B435, "=Nacional")</f>
        <v>89085</v>
      </c>
      <c r="D7" s="10">
        <f>SUMIFS(Concentrado!E$2:E435,Concentrado!$A$2:$A435,"="&amp;$A7,Concentrado!$B$2:$B435, "=Nacional")</f>
        <v>50130</v>
      </c>
      <c r="E7" s="10">
        <f>SUMIFS(Concentrado!F$2:F435,Concentrado!$A$2:$A435,"="&amp;$A7,Concentrado!$B$2:$B435, "=Nacional")</f>
        <v>4169</v>
      </c>
      <c r="F7" s="10">
        <f>SUMIFS(Concentrado!G$2:G435,Concentrado!$A$2:$A435,"="&amp;$A7,Concentrado!$B$2:$B435, "=Nacional")</f>
        <v>2130</v>
      </c>
    </row>
    <row r="8" spans="1:6" x14ac:dyDescent="0.25">
      <c r="A8" s="9">
        <v>2018</v>
      </c>
      <c r="B8" s="10">
        <f>SUMIFS(Concentrado!C$2:C436,Concentrado!$A$2:$A436,"="&amp;$A8,Concentrado!$B$2:$B436, "=Nacional")</f>
        <v>77563</v>
      </c>
      <c r="C8" s="10">
        <f>SUMIFS(Concentrado!D$2:D436,Concentrado!$A$2:$A436,"="&amp;$A8,Concentrado!$B$2:$B436, "=Nacional")</f>
        <v>89562</v>
      </c>
      <c r="D8" s="10">
        <f>SUMIFS(Concentrado!E$2:E436,Concentrado!$A$2:$A436,"="&amp;$A8,Concentrado!$B$2:$B436, "=Nacional")</f>
        <v>50019</v>
      </c>
      <c r="E8" s="10">
        <f>SUMIFS(Concentrado!F$2:F436,Concentrado!$A$2:$A436,"="&amp;$A8,Concentrado!$B$2:$B436, "=Nacional")</f>
        <v>4162</v>
      </c>
      <c r="F8" s="10">
        <f>SUMIFS(Concentrado!G$2:G436,Concentrado!$A$2:$A436,"="&amp;$A8,Concentrado!$B$2:$B436, "=Nacional")</f>
        <v>2003</v>
      </c>
    </row>
    <row r="9" spans="1:6" x14ac:dyDescent="0.25">
      <c r="A9" s="9">
        <v>2019</v>
      </c>
      <c r="B9" s="10">
        <f>SUMIFS(Concentrado!C$2:C437,Concentrado!$A$2:$A437,"="&amp;$A9,Concentrado!$B$2:$B437, "=Nacional")</f>
        <v>76875</v>
      </c>
      <c r="C9" s="10">
        <f>SUMIFS(Concentrado!D$2:D437,Concentrado!$A$2:$A437,"="&amp;$A9,Concentrado!$B$2:$B437, "=Nacional")</f>
        <v>89538</v>
      </c>
      <c r="D9" s="10">
        <f>SUMIFS(Concentrado!E$2:E437,Concentrado!$A$2:$A437,"="&amp;$A9,Concentrado!$B$2:$B437, "=Nacional")</f>
        <v>50466</v>
      </c>
      <c r="E9" s="10">
        <f>SUMIFS(Concentrado!F$2:F437,Concentrado!$A$2:$A437,"="&amp;$A9,Concentrado!$B$2:$B437, "=Nacional")</f>
        <v>4198</v>
      </c>
      <c r="F9" s="10">
        <f>SUMIFS(Concentrado!G$2:G437,Concentrado!$A$2:$A437,"="&amp;$A9,Concentrado!$B$2:$B437, "=Nacional")</f>
        <v>2221</v>
      </c>
    </row>
    <row r="10" spans="1:6" x14ac:dyDescent="0.25">
      <c r="A10" s="9">
        <v>2020</v>
      </c>
      <c r="B10" s="10">
        <f>SUMIFS(Concentrado!C$2:C438,Concentrado!$A$2:$A438,"="&amp;$A10,Concentrado!$B$2:$B438, "=Nacional")</f>
        <v>79067</v>
      </c>
      <c r="C10" s="10">
        <f>SUMIFS(Concentrado!D$2:D438,Concentrado!$A$2:$A438,"="&amp;$A10,Concentrado!$B$2:$B438, "=Nacional")</f>
        <v>93219</v>
      </c>
      <c r="D10" s="10">
        <f>SUMIFS(Concentrado!E$2:E438,Concentrado!$A$2:$A438,"="&amp;$A10,Concentrado!$B$2:$B438, "=Nacional")</f>
        <v>52342</v>
      </c>
      <c r="E10" s="10">
        <f>SUMIFS(Concentrado!F$2:F438,Concentrado!$A$2:$A438,"="&amp;$A10,Concentrado!$B$2:$B438, "=Nacional")</f>
        <v>4181</v>
      </c>
      <c r="F10" s="10">
        <f>SUMIFS(Concentrado!G$2:G438,Concentrado!$A$2:$A438,"="&amp;$A10,Concentrado!$B$2:$B438, "=Nacional")</f>
        <v>2179</v>
      </c>
    </row>
    <row r="11" spans="1:6" x14ac:dyDescent="0.25">
      <c r="A11" s="9">
        <v>2021</v>
      </c>
      <c r="B11" s="10">
        <f>SUMIFS(Concentrado!C$2:C439,Concentrado!$A$2:$A439,"="&amp;$A11,Concentrado!$B$2:$B439, "=Nacional")</f>
        <v>78870</v>
      </c>
      <c r="C11" s="10">
        <f>SUMIFS(Concentrado!D$2:D439,Concentrado!$A$2:$A439,"="&amp;$A11,Concentrado!$B$2:$B439, "=Nacional")</f>
        <v>94047</v>
      </c>
      <c r="D11" s="10">
        <f>SUMIFS(Concentrado!E$2:E439,Concentrado!$A$2:$A439,"="&amp;$A11,Concentrado!$B$2:$B439, "=Nacional")</f>
        <v>52047</v>
      </c>
      <c r="E11" s="10">
        <f>SUMIFS(Concentrado!F$2:F439,Concentrado!$A$2:$A439,"="&amp;$A11,Concentrado!$B$2:$B439, "=Nacional")</f>
        <v>4243</v>
      </c>
      <c r="F11" s="10">
        <f>SUMIFS(Concentrado!G$2:G439,Concentrado!$A$2:$A439,"="&amp;$A11,Concentrado!$B$2:$B439, "=Nacional")</f>
        <v>2063</v>
      </c>
    </row>
    <row r="12" spans="1:6" x14ac:dyDescent="0.25">
      <c r="A12" s="9">
        <v>2022</v>
      </c>
      <c r="B12" s="10">
        <f>SUMIFS(Concentrado!C$2:C440,Concentrado!$A$2:$A440,"="&amp;$A12,Concentrado!$B$2:$B440, "=Nacional")</f>
        <v>83750</v>
      </c>
      <c r="C12" s="10">
        <f>SUMIFS(Concentrado!D$2:D440,Concentrado!$A$2:$A440,"="&amp;$A12,Concentrado!$B$2:$B440, "=Nacional")</f>
        <v>95780</v>
      </c>
      <c r="D12" s="10">
        <f>SUMIFS(Concentrado!E$2:E440,Concentrado!$A$2:$A440,"="&amp;$A12,Concentrado!$B$2:$B440, "=Nacional")</f>
        <v>48900</v>
      </c>
      <c r="E12" s="10">
        <f>SUMIFS(Concentrado!F$2:F440,Concentrado!$A$2:$A440,"="&amp;$A12,Concentrado!$B$2:$B440, "=Nacional")</f>
        <v>4410</v>
      </c>
      <c r="F12" s="10">
        <f>SUMIFS(Concentrado!G$2:G440,Concentrado!$A$2:$A440,"="&amp;$A12,Concentrado!$B$2:$B440, "=Nacional")</f>
        <v>1970</v>
      </c>
    </row>
    <row r="13" spans="1:6" x14ac:dyDescent="0.25">
      <c r="A13" s="9">
        <v>2023</v>
      </c>
      <c r="B13" s="10">
        <f>SUMIFS(Concentrado!C$2:C441,Concentrado!$A$2:$A441,"="&amp;$A13,Concentrado!$B$2:$B441, "=Nacional")</f>
        <v>84929</v>
      </c>
      <c r="C13" s="10">
        <f>SUMIFS(Concentrado!D$2:D441,Concentrado!$A$2:$A441,"="&amp;$A13,Concentrado!$B$2:$B441, "=Nacional")</f>
        <v>95061</v>
      </c>
      <c r="D13" s="10">
        <f>SUMIFS(Concentrado!E$2:E441,Concentrado!$A$2:$A441,"="&amp;$A13,Concentrado!$B$2:$B441, "=Nacional")</f>
        <v>50438</v>
      </c>
      <c r="E13" s="10">
        <f>SUMIFS(Concentrado!F$2:F441,Concentrado!$A$2:$A441,"="&amp;$A13,Concentrado!$B$2:$B441, "=Nacional")</f>
        <v>4385</v>
      </c>
      <c r="F13" s="10">
        <f>SUMIFS(Concentrado!G$2:G441,Concentrado!$A$2:$A441,"="&amp;$A13,Concentrado!$B$2:$B441, "=Nacional")</f>
        <v>1984</v>
      </c>
    </row>
    <row r="14" spans="1:6" x14ac:dyDescent="0.25">
      <c r="A14" s="12">
        <v>2024</v>
      </c>
      <c r="B14" s="10">
        <f>SUMIFS(Concentrado!C$2:C442,Concentrado!$A$2:$A442,"="&amp;$A14,Concentrado!$B$2:$B442, "=Nacional")</f>
        <v>86304</v>
      </c>
      <c r="C14" s="10">
        <f>SUMIFS(Concentrado!D$2:D442,Concentrado!$A$2:$A442,"="&amp;$A14,Concentrado!$B$2:$B442, "=Nacional")</f>
        <v>96988</v>
      </c>
      <c r="D14" s="10">
        <f>SUMIFS(Concentrado!E$2:E442,Concentrado!$A$2:$A442,"="&amp;$A14,Concentrado!$B$2:$B442, "=Nacional")</f>
        <v>53160</v>
      </c>
      <c r="E14" s="10">
        <f>SUMIFS(Concentrado!F$2:F442,Concentrado!$A$2:$A442,"="&amp;$A14,Concentrado!$B$2:$B442, "=Nacional")</f>
        <v>4495</v>
      </c>
      <c r="F14" s="10">
        <f>SUMIFS(Concentrado!G$2:G442,Concentrado!$A$2:$A442,"="&amp;$A14,Concentrado!$B$2:$B442, "=Nacional")</f>
        <v>2025</v>
      </c>
    </row>
  </sheetData>
  <pageMargins left="0.7" right="0.7" top="0.75" bottom="0.75" header="0.3" footer="0.3"/>
  <pageSetup orientation="portrait" horizont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zoomScale="112" zoomScaleNormal="112" workbookViewId="0">
      <selection activeCell="F14" sqref="F14"/>
    </sheetView>
  </sheetViews>
  <sheetFormatPr baseColWidth="10" defaultRowHeight="15" x14ac:dyDescent="0.25"/>
  <cols>
    <col min="1" max="1" width="12.140625" customWidth="1"/>
    <col min="2" max="2" width="13.28515625" bestFit="1" customWidth="1"/>
    <col min="3" max="3" width="12.42578125" bestFit="1" customWidth="1"/>
    <col min="4" max="4" width="19.140625" customWidth="1"/>
    <col min="5" max="5" width="12.28515625" bestFit="1" customWidth="1"/>
    <col min="6" max="6" width="12" bestFit="1" customWidth="1"/>
  </cols>
  <sheetData>
    <row r="1" spans="1:6" s="4" customFormat="1" ht="42.75" x14ac:dyDescent="0.2">
      <c r="A1" s="1" t="s">
        <v>0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</row>
    <row r="2" spans="1:6" x14ac:dyDescent="0.25">
      <c r="A2" s="8">
        <v>2012</v>
      </c>
      <c r="B2" s="11">
        <f>SUMIFS(Concentrado!C$2:C$430,Concentrado!$A$2:$A$430,"="&amp;$A2,Concentrado!$B$2:$B$430, "=Aguascalientes")</f>
        <v>808</v>
      </c>
      <c r="C2" s="11">
        <f>SUMIFS(Concentrado!D$2:D$430,Concentrado!$A$2:$A$430,"="&amp;$A2,Concentrado!$B$2:$B$430, "=Aguascalientes")</f>
        <v>878</v>
      </c>
      <c r="D2" s="11">
        <f>SUMIFS(Concentrado!E$2:E$430,Concentrado!$A$2:$A$430,"="&amp;$A2,Concentrado!$B$2:$B$430, "=Aguascalientes")</f>
        <v>526</v>
      </c>
      <c r="E2" s="11">
        <f>SUMIFS(Concentrado!F$2:F$430,Concentrado!$A$2:$A$430,"="&amp;$A2,Concentrado!$B$2:$B$430, "=Aguascalientes")</f>
        <v>36</v>
      </c>
      <c r="F2" s="11">
        <f>SUMIFS(Concentrado!G$2:G$430,Concentrado!$A$2:$A$430,"="&amp;$A2,Concentrado!$B$2:$B$430, "=Aguascalientes")</f>
        <v>15</v>
      </c>
    </row>
    <row r="3" spans="1:6" x14ac:dyDescent="0.25">
      <c r="A3" s="8">
        <v>2013</v>
      </c>
      <c r="B3" s="11">
        <f>SUMIFS(Concentrado!C$2:C$430,Concentrado!$A$2:$A$430,"="&amp;$A3,Concentrado!$B$2:$B$430, "=Aguascalientes")</f>
        <v>835</v>
      </c>
      <c r="C3" s="11">
        <f>SUMIFS(Concentrado!D$2:D$430,Concentrado!$A$2:$A$430,"="&amp;$A3,Concentrado!$B$2:$B$430, "=Aguascalientes")</f>
        <v>875</v>
      </c>
      <c r="D3" s="11">
        <f>SUMIFS(Concentrado!E$2:E$430,Concentrado!$A$2:$A$430,"="&amp;$A3,Concentrado!$B$2:$B$430, "=Aguascalientes")</f>
        <v>559</v>
      </c>
      <c r="E3" s="11">
        <f>SUMIFS(Concentrado!F$2:F$430,Concentrado!$A$2:$A$430,"="&amp;$A3,Concentrado!$B$2:$B$430, "=Aguascalientes")</f>
        <v>41</v>
      </c>
      <c r="F3" s="11">
        <f>SUMIFS(Concentrado!G$2:G$430,Concentrado!$A$2:$A$430,"="&amp;$A3,Concentrado!$B$2:$B$430, "=Aguascalientes")</f>
        <v>15</v>
      </c>
    </row>
    <row r="4" spans="1:6" x14ac:dyDescent="0.25">
      <c r="A4" s="8">
        <v>2014</v>
      </c>
      <c r="B4" s="11">
        <f>SUMIFS(Concentrado!C$2:C$430,Concentrado!$A$2:$A$430,"="&amp;$A4,Concentrado!$B$2:$B$430, "=Aguascalientes")</f>
        <v>899</v>
      </c>
      <c r="C4" s="11">
        <f>SUMIFS(Concentrado!D$2:D$430,Concentrado!$A$2:$A$430,"="&amp;$A4,Concentrado!$B$2:$B$430, "=Aguascalientes")</f>
        <v>874</v>
      </c>
      <c r="D4" s="11">
        <f>SUMIFS(Concentrado!E$2:E$430,Concentrado!$A$2:$A$430,"="&amp;$A4,Concentrado!$B$2:$B$430, "=Aguascalientes")</f>
        <v>506</v>
      </c>
      <c r="E4" s="11">
        <f>SUMIFS(Concentrado!F$2:F$430,Concentrado!$A$2:$A$430,"="&amp;$A4,Concentrado!$B$2:$B$430, "=Aguascalientes")</f>
        <v>42</v>
      </c>
      <c r="F4" s="11">
        <f>SUMIFS(Concentrado!G$2:G$430,Concentrado!$A$2:$A$430,"="&amp;$A4,Concentrado!$B$2:$B$430, "=Aguascalientes")</f>
        <v>12</v>
      </c>
    </row>
    <row r="5" spans="1:6" x14ac:dyDescent="0.25">
      <c r="A5" s="8">
        <v>2015</v>
      </c>
      <c r="B5" s="11">
        <f>SUMIFS(Concentrado!C$2:C$430,Concentrado!$A$2:$A$430,"="&amp;$A5,Concentrado!$B$2:$B$430, "=Aguascalientes")</f>
        <v>831</v>
      </c>
      <c r="C5" s="11">
        <f>SUMIFS(Concentrado!D$2:D$430,Concentrado!$A$2:$A$430,"="&amp;$A5,Concentrado!$B$2:$B$430, "=Aguascalientes")</f>
        <v>875</v>
      </c>
      <c r="D5" s="11">
        <f>SUMIFS(Concentrado!E$2:E$430,Concentrado!$A$2:$A$430,"="&amp;$A5,Concentrado!$B$2:$B$430, "=Aguascalientes")</f>
        <v>486</v>
      </c>
      <c r="E5" s="11">
        <f>SUMIFS(Concentrado!F$2:F$430,Concentrado!$A$2:$A$430,"="&amp;$A5,Concentrado!$B$2:$B$430, "=Aguascalientes")</f>
        <v>41</v>
      </c>
      <c r="F5" s="11">
        <f>SUMIFS(Concentrado!G$2:G$430,Concentrado!$A$2:$A$430,"="&amp;$A5,Concentrado!$B$2:$B$430, "=Aguascalientes")</f>
        <v>12</v>
      </c>
    </row>
    <row r="6" spans="1:6" x14ac:dyDescent="0.25">
      <c r="A6" s="8">
        <v>2016</v>
      </c>
      <c r="B6" s="11">
        <f>SUMIFS(Concentrado!C$2:C$430,Concentrado!$A$2:$A$430,"="&amp;$A6,Concentrado!$B$2:$B$430, "=Aguascalientes")</f>
        <v>826</v>
      </c>
      <c r="C6" s="11">
        <f>SUMIFS(Concentrado!D$2:D$430,Concentrado!$A$2:$A$430,"="&amp;$A6,Concentrado!$B$2:$B$430, "=Aguascalientes")</f>
        <v>895</v>
      </c>
      <c r="D6" s="11">
        <f>SUMIFS(Concentrado!E$2:E$430,Concentrado!$A$2:$A$430,"="&amp;$A6,Concentrado!$B$2:$B$430, "=Aguascalientes")</f>
        <v>484</v>
      </c>
      <c r="E6" s="11">
        <f>SUMIFS(Concentrado!F$2:F$430,Concentrado!$A$2:$A$430,"="&amp;$A6,Concentrado!$B$2:$B$430, "=Aguascalientes")</f>
        <v>41</v>
      </c>
      <c r="F6" s="11">
        <f>SUMIFS(Concentrado!G$2:G$430,Concentrado!$A$2:$A$430,"="&amp;$A6,Concentrado!$B$2:$B$430, "=Aguascalientes")</f>
        <v>13</v>
      </c>
    </row>
    <row r="7" spans="1:6" x14ac:dyDescent="0.25">
      <c r="A7" s="8">
        <v>2017</v>
      </c>
      <c r="B7" s="11">
        <f>SUMIFS(Concentrado!C$2:C$430,Concentrado!$A$2:$A$430,"="&amp;$A7,Concentrado!$B$2:$B$430, "=Aguascalientes")</f>
        <v>843</v>
      </c>
      <c r="C7" s="11">
        <f>SUMIFS(Concentrado!D$2:D$430,Concentrado!$A$2:$A$430,"="&amp;$A7,Concentrado!$B$2:$B$430, "=Aguascalientes")</f>
        <v>875</v>
      </c>
      <c r="D7" s="11">
        <f>SUMIFS(Concentrado!E$2:E$430,Concentrado!$A$2:$A$430,"="&amp;$A7,Concentrado!$B$2:$B$430, "=Aguascalientes")</f>
        <v>472</v>
      </c>
      <c r="E7" s="11">
        <f>SUMIFS(Concentrado!F$2:F$430,Concentrado!$A$2:$A$430,"="&amp;$A7,Concentrado!$B$2:$B$430, "=Aguascalientes")</f>
        <v>42</v>
      </c>
      <c r="F7" s="11">
        <f>SUMIFS(Concentrado!G$2:G$430,Concentrado!$A$2:$A$430,"="&amp;$A7,Concentrado!$B$2:$B$430, "=Aguascalientes")</f>
        <v>13</v>
      </c>
    </row>
    <row r="8" spans="1:6" x14ac:dyDescent="0.25">
      <c r="A8" s="8">
        <v>2018</v>
      </c>
      <c r="B8" s="11">
        <f>SUMIFS(Concentrado!C$2:C$430,Concentrado!$A$2:$A$430,"="&amp;$A8,Concentrado!$B$2:$B$430, "=Aguascalientes")</f>
        <v>863</v>
      </c>
      <c r="C8" s="11">
        <f>SUMIFS(Concentrado!D$2:D$430,Concentrado!$A$2:$A$430,"="&amp;$A8,Concentrado!$B$2:$B$430, "=Aguascalientes")</f>
        <v>966</v>
      </c>
      <c r="D8" s="11">
        <f>SUMIFS(Concentrado!E$2:E$430,Concentrado!$A$2:$A$430,"="&amp;$A8,Concentrado!$B$2:$B$430, "=Aguascalientes")</f>
        <v>557</v>
      </c>
      <c r="E8" s="11">
        <f>SUMIFS(Concentrado!F$2:F$430,Concentrado!$A$2:$A$430,"="&amp;$A8,Concentrado!$B$2:$B$430, "=Aguascalientes")</f>
        <v>50</v>
      </c>
      <c r="F8" s="11">
        <f>SUMIFS(Concentrado!G$2:G$430,Concentrado!$A$2:$A$430,"="&amp;$A8,Concentrado!$B$2:$B$430, "=Aguascalientes")</f>
        <v>15</v>
      </c>
    </row>
    <row r="9" spans="1:6" x14ac:dyDescent="0.25">
      <c r="A9" s="8">
        <v>2019</v>
      </c>
      <c r="B9" s="11">
        <f>SUMIFS(Concentrado!C$2:C$430,Concentrado!$A$2:$A$430,"="&amp;$A9,Concentrado!$B$2:$B$430, "=Aguascalientes")</f>
        <v>900</v>
      </c>
      <c r="C9" s="11">
        <f>SUMIFS(Concentrado!D$2:D$430,Concentrado!$A$2:$A$430,"="&amp;$A9,Concentrado!$B$2:$B$430, "=Aguascalientes")</f>
        <v>974</v>
      </c>
      <c r="D9" s="11">
        <f>SUMIFS(Concentrado!E$2:E$430,Concentrado!$A$2:$A$430,"="&amp;$A9,Concentrado!$B$2:$B$430, "=Aguascalientes")</f>
        <v>599</v>
      </c>
      <c r="E9" s="11">
        <f>SUMIFS(Concentrado!F$2:F$430,Concentrado!$A$2:$A$430,"="&amp;$A9,Concentrado!$B$2:$B$430, "=Aguascalientes")</f>
        <v>60</v>
      </c>
      <c r="F9" s="11">
        <f>SUMIFS(Concentrado!G$2:G$430,Concentrado!$A$2:$A$430,"="&amp;$A9,Concentrado!$B$2:$B$430, "=Aguascalientes")</f>
        <v>15</v>
      </c>
    </row>
    <row r="10" spans="1:6" x14ac:dyDescent="0.25">
      <c r="A10" s="8">
        <v>2020</v>
      </c>
      <c r="B10" s="11">
        <f>SUMIFS(Concentrado!C$2:C$430,Concentrado!$A$2:$A$430,"="&amp;$A10,Concentrado!$B$2:$B$430, "=Aguascalientes")</f>
        <v>909</v>
      </c>
      <c r="C10" s="11">
        <f>SUMIFS(Concentrado!D$2:D$430,Concentrado!$A$2:$A$430,"="&amp;$A10,Concentrado!$B$2:$B$430, "=Aguascalientes")</f>
        <v>1007</v>
      </c>
      <c r="D10" s="11">
        <f>SUMIFS(Concentrado!E$2:E$430,Concentrado!$A$2:$A$430,"="&amp;$A10,Concentrado!$B$2:$B$430, "=Aguascalientes")</f>
        <v>589</v>
      </c>
      <c r="E10" s="11">
        <f>SUMIFS(Concentrado!F$2:F$430,Concentrado!$A$2:$A$430,"="&amp;$A10,Concentrado!$B$2:$B$430, "=Aguascalientes")</f>
        <v>53</v>
      </c>
      <c r="F10" s="11">
        <f>SUMIFS(Concentrado!G$2:G$430,Concentrado!$A$2:$A$430,"="&amp;$A10,Concentrado!$B$2:$B$430, "=Aguascalientes")</f>
        <v>15</v>
      </c>
    </row>
    <row r="11" spans="1:6" x14ac:dyDescent="0.25">
      <c r="A11" s="8">
        <v>2021</v>
      </c>
      <c r="B11" s="11">
        <f>SUMIFS(Concentrado!C$2:C$430,Concentrado!$A$2:$A$430,"="&amp;$A11,Concentrado!$B$2:$B$430, "=Aguascalientes")</f>
        <v>940</v>
      </c>
      <c r="C11" s="11">
        <f>SUMIFS(Concentrado!D$2:D$430,Concentrado!$A$2:$A$430,"="&amp;$A11,Concentrado!$B$2:$B$430, "=Aguascalientes")</f>
        <v>1068</v>
      </c>
      <c r="D11" s="11">
        <f>SUMIFS(Concentrado!E$2:E$430,Concentrado!$A$2:$A$430,"="&amp;$A11,Concentrado!$B$2:$B$430, "=Aguascalientes")</f>
        <v>607</v>
      </c>
      <c r="E11" s="11">
        <f>SUMIFS(Concentrado!F$2:F$430,Concentrado!$A$2:$A$430,"="&amp;$A11,Concentrado!$B$2:$B$430, "=Aguascalientes")</f>
        <v>52</v>
      </c>
      <c r="F11" s="11">
        <f>SUMIFS(Concentrado!G$2:G$430,Concentrado!$A$2:$A$430,"="&amp;$A11,Concentrado!$B$2:$B$430, "=Aguascalientes")</f>
        <v>15</v>
      </c>
    </row>
    <row r="12" spans="1:6" x14ac:dyDescent="0.25">
      <c r="A12" s="8">
        <v>2022</v>
      </c>
      <c r="B12" s="11">
        <f>SUMIFS(Concentrado!C$2:C$430,Concentrado!$A$2:$A$430,"="&amp;$A12,Concentrado!$B$2:$B$430, "=Aguascalientes")</f>
        <v>961</v>
      </c>
      <c r="C12" s="11">
        <f>SUMIFS(Concentrado!D$2:D$430,Concentrado!$A$2:$A$430,"="&amp;$A12,Concentrado!$B$2:$B$430, "=Aguascalientes")</f>
        <v>1044</v>
      </c>
      <c r="D12" s="11">
        <f>SUMIFS(Concentrado!E$2:E$430,Concentrado!$A$2:$A$430,"="&amp;$A12,Concentrado!$B$2:$B$430, "=Aguascalientes")</f>
        <v>632</v>
      </c>
      <c r="E12" s="11">
        <f>SUMIFS(Concentrado!F$2:F$430,Concentrado!$A$2:$A$430,"="&amp;$A12,Concentrado!$B$2:$B$430, "=Aguascalientes")</f>
        <v>55</v>
      </c>
      <c r="F12" s="11">
        <f>SUMIFS(Concentrado!G$2:G$430,Concentrado!$A$2:$A$430,"="&amp;$A12,Concentrado!$B$2:$B$430, "=Aguascalientes")</f>
        <v>15</v>
      </c>
    </row>
    <row r="13" spans="1:6" x14ac:dyDescent="0.25">
      <c r="A13" s="8">
        <v>2023</v>
      </c>
      <c r="B13" s="11">
        <f>SUMIFS(Concentrado!C$2:C$430,Concentrado!$A$2:$A$430,"="&amp;$A13,Concentrado!$B$2:$B$430, "=Aguascalientes")</f>
        <v>948</v>
      </c>
      <c r="C13" s="11">
        <f>SUMIFS(Concentrado!D$2:D$430,Concentrado!$A$2:$A$430,"="&amp;$A13,Concentrado!$B$2:$B$430, "=Aguascalientes")</f>
        <v>1066</v>
      </c>
      <c r="D13" s="11">
        <f>SUMIFS(Concentrado!E$2:E$430,Concentrado!$A$2:$A$430,"="&amp;$A13,Concentrado!$B$2:$B$430, "=Aguascalientes")</f>
        <v>644</v>
      </c>
      <c r="E13" s="11">
        <f>SUMIFS(Concentrado!F$2:F$430,Concentrado!$A$2:$A$430,"="&amp;$A13,Concentrado!$B$2:$B$430, "=Aguascalientes")</f>
        <v>61</v>
      </c>
      <c r="F13" s="11">
        <f>SUMIFS(Concentrado!G$2:G$430,Concentrado!$A$2:$A$430,"="&amp;$A13,Concentrado!$B$2:$B$430, "=Aguascalientes")</f>
        <v>15</v>
      </c>
    </row>
    <row r="14" spans="1:6" x14ac:dyDescent="0.25">
      <c r="A14" s="8">
        <v>2024</v>
      </c>
      <c r="B14" s="11">
        <f>SUMIFS(Concentrado!C$2:C$430,Concentrado!$A$2:$A$430,"="&amp;$A14,Concentrado!$B$2:$B$430, "=Aguascalientes")</f>
        <v>956</v>
      </c>
      <c r="C14" s="11">
        <f>SUMIFS(Concentrado!D$2:D$430,Concentrado!$A$2:$A$430,"="&amp;$A14,Concentrado!$B$2:$B$430, "=Aguascalientes")</f>
        <v>1079</v>
      </c>
      <c r="D14" s="11">
        <f>SUMIFS(Concentrado!E$2:E$430,Concentrado!$A$2:$A$430,"="&amp;$A14,Concentrado!$B$2:$B$430, "=Aguascalientes")</f>
        <v>672</v>
      </c>
      <c r="E14" s="11">
        <f>SUMIFS(Concentrado!F$2:F$430,Concentrado!$A$2:$A$430,"="&amp;$A14,Concentrado!$B$2:$B$430, "=Aguascalientes")</f>
        <v>60</v>
      </c>
      <c r="F14" s="11">
        <f>SUMIFS(Concentrado!G$2:G$430,Concentrado!$A$2:$A$430,"="&amp;$A14,Concentrado!$B$2:$B$430, "=Aguascalientes")</f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zoomScale="112" zoomScaleNormal="112" workbookViewId="0">
      <selection activeCell="F14" sqref="F14"/>
    </sheetView>
  </sheetViews>
  <sheetFormatPr baseColWidth="10" defaultRowHeight="15" x14ac:dyDescent="0.25"/>
  <cols>
    <col min="1" max="1" width="12.140625" customWidth="1"/>
    <col min="2" max="2" width="13.28515625" bestFit="1" customWidth="1"/>
    <col min="3" max="3" width="12.42578125" bestFit="1" customWidth="1"/>
    <col min="4" max="4" width="19.140625" customWidth="1"/>
    <col min="5" max="5" width="12.28515625" bestFit="1" customWidth="1"/>
    <col min="6" max="6" width="12" bestFit="1" customWidth="1"/>
  </cols>
  <sheetData>
    <row r="1" spans="1:6" s="4" customFormat="1" ht="42.75" x14ac:dyDescent="0.2">
      <c r="A1" s="1" t="s">
        <v>0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</row>
    <row r="2" spans="1:6" x14ac:dyDescent="0.25">
      <c r="A2" s="8">
        <v>2012</v>
      </c>
      <c r="B2" s="11">
        <f>SUMIFS(Concentrado!C$2:C430,Concentrado!$A$2:$A430,"="&amp;$A2,Concentrado!$B$2:$B430, "=Baja California")</f>
        <v>1468</v>
      </c>
      <c r="C2" s="11">
        <f>SUMIFS(Concentrado!D$2:D430,Concentrado!$A$2:$A430,"="&amp;$A2,Concentrado!$B$2:$B430, "=Baja California")</f>
        <v>2166</v>
      </c>
      <c r="D2" s="11">
        <f>SUMIFS(Concentrado!E$2:E430,Concentrado!$A$2:$A430,"="&amp;$A2,Concentrado!$B$2:$B430, "=Baja California")</f>
        <v>1089</v>
      </c>
      <c r="E2" s="11">
        <f>SUMIFS(Concentrado!F$2:F430,Concentrado!$A$2:$A430,"="&amp;$A2,Concentrado!$B$2:$B430, "=Baja California")</f>
        <v>77</v>
      </c>
      <c r="F2" s="11">
        <f>SUMIFS(Concentrado!G$2:G430,Concentrado!$A$2:$A430,"="&amp;$A2,Concentrado!$B$2:$B430, "=Baja California")</f>
        <v>46</v>
      </c>
    </row>
    <row r="3" spans="1:6" x14ac:dyDescent="0.25">
      <c r="A3" s="8">
        <v>2013</v>
      </c>
      <c r="B3" s="11">
        <f>SUMIFS(Concentrado!C$2:C431,Concentrado!$A$2:$A431,"="&amp;$A3,Concentrado!$B$2:$B431, "=Baja California")</f>
        <v>1535</v>
      </c>
      <c r="C3" s="11">
        <f>SUMIFS(Concentrado!D$2:D431,Concentrado!$A$2:$A431,"="&amp;$A3,Concentrado!$B$2:$B431, "=Baja California")</f>
        <v>2152</v>
      </c>
      <c r="D3" s="11">
        <f>SUMIFS(Concentrado!E$2:E431,Concentrado!$A$2:$A431,"="&amp;$A3,Concentrado!$B$2:$B431, "=Baja California")</f>
        <v>1150</v>
      </c>
      <c r="E3" s="11">
        <f>SUMIFS(Concentrado!F$2:F431,Concentrado!$A$2:$A431,"="&amp;$A3,Concentrado!$B$2:$B431, "=Baja California")</f>
        <v>96</v>
      </c>
      <c r="F3" s="11">
        <f>SUMIFS(Concentrado!G$2:G431,Concentrado!$A$2:$A431,"="&amp;$A3,Concentrado!$B$2:$B431, "=Baja California")</f>
        <v>44</v>
      </c>
    </row>
    <row r="4" spans="1:6" x14ac:dyDescent="0.25">
      <c r="A4" s="8">
        <v>2014</v>
      </c>
      <c r="B4" s="11">
        <f>SUMIFS(Concentrado!C$2:C432,Concentrado!$A$2:$A432,"="&amp;$A4,Concentrado!$B$2:$B432, "=Baja California")</f>
        <v>1619</v>
      </c>
      <c r="C4" s="11">
        <f>SUMIFS(Concentrado!D$2:D432,Concentrado!$A$2:$A432,"="&amp;$A4,Concentrado!$B$2:$B432, "=Baja California")</f>
        <v>2193</v>
      </c>
      <c r="D4" s="11">
        <f>SUMIFS(Concentrado!E$2:E432,Concentrado!$A$2:$A432,"="&amp;$A4,Concentrado!$B$2:$B432, "=Baja California")</f>
        <v>1271</v>
      </c>
      <c r="E4" s="11">
        <f>SUMIFS(Concentrado!F$2:F432,Concentrado!$A$2:$A432,"="&amp;$A4,Concentrado!$B$2:$B432, "=Baja California")</f>
        <v>97</v>
      </c>
      <c r="F4" s="11">
        <f>SUMIFS(Concentrado!G$2:G432,Concentrado!$A$2:$A432,"="&amp;$A4,Concentrado!$B$2:$B432, "=Baja California")</f>
        <v>42</v>
      </c>
    </row>
    <row r="5" spans="1:6" x14ac:dyDescent="0.25">
      <c r="A5" s="8">
        <v>2015</v>
      </c>
      <c r="B5" s="11">
        <f>SUMIFS(Concentrado!C$2:C433,Concentrado!$A$2:$A433,"="&amp;$A5,Concentrado!$B$2:$B433, "=Baja California")</f>
        <v>1598</v>
      </c>
      <c r="C5" s="11">
        <f>SUMIFS(Concentrado!D$2:D433,Concentrado!$A$2:$A433,"="&amp;$A5,Concentrado!$B$2:$B433, "=Baja California")</f>
        <v>2152</v>
      </c>
      <c r="D5" s="11">
        <f>SUMIFS(Concentrado!E$2:E433,Concentrado!$A$2:$A433,"="&amp;$A5,Concentrado!$B$2:$B433, "=Baja California")</f>
        <v>1076</v>
      </c>
      <c r="E5" s="11">
        <f>SUMIFS(Concentrado!F$2:F433,Concentrado!$A$2:$A433,"="&amp;$A5,Concentrado!$B$2:$B433, "=Baja California")</f>
        <v>105</v>
      </c>
      <c r="F5" s="11">
        <f>SUMIFS(Concentrado!G$2:G433,Concentrado!$A$2:$A433,"="&amp;$A5,Concentrado!$B$2:$B433, "=Baja California")</f>
        <v>42</v>
      </c>
    </row>
    <row r="6" spans="1:6" x14ac:dyDescent="0.25">
      <c r="A6" s="8">
        <v>2016</v>
      </c>
      <c r="B6" s="11">
        <f>SUMIFS(Concentrado!C$2:C434,Concentrado!$A$2:$A434,"="&amp;$A6,Concentrado!$B$2:$B434, "=Baja California")</f>
        <v>1668</v>
      </c>
      <c r="C6" s="11">
        <f>SUMIFS(Concentrado!D$2:D434,Concentrado!$A$2:$A434,"="&amp;$A6,Concentrado!$B$2:$B434, "=Baja California")</f>
        <v>2171</v>
      </c>
      <c r="D6" s="11">
        <f>SUMIFS(Concentrado!E$2:E434,Concentrado!$A$2:$A434,"="&amp;$A6,Concentrado!$B$2:$B434, "=Baja California")</f>
        <v>1056</v>
      </c>
      <c r="E6" s="11">
        <f>SUMIFS(Concentrado!F$2:F434,Concentrado!$A$2:$A434,"="&amp;$A6,Concentrado!$B$2:$B434, "=Baja California")</f>
        <v>102</v>
      </c>
      <c r="F6" s="11">
        <f>SUMIFS(Concentrado!G$2:G434,Concentrado!$A$2:$A434,"="&amp;$A6,Concentrado!$B$2:$B434, "=Baja California")</f>
        <v>39</v>
      </c>
    </row>
    <row r="7" spans="1:6" x14ac:dyDescent="0.25">
      <c r="A7" s="8">
        <v>2017</v>
      </c>
      <c r="B7" s="11">
        <f>SUMIFS(Concentrado!C$2:C435,Concentrado!$A$2:$A435,"="&amp;$A7,Concentrado!$B$2:$B435, "=Baja California")</f>
        <v>1627</v>
      </c>
      <c r="C7" s="11">
        <f>SUMIFS(Concentrado!D$2:D435,Concentrado!$A$2:$A435,"="&amp;$A7,Concentrado!$B$2:$B435, "=Baja California")</f>
        <v>2183</v>
      </c>
      <c r="D7" s="11">
        <f>SUMIFS(Concentrado!E$2:E435,Concentrado!$A$2:$A435,"="&amp;$A7,Concentrado!$B$2:$B435, "=Baja California")</f>
        <v>1036</v>
      </c>
      <c r="E7" s="11">
        <f>SUMIFS(Concentrado!F$2:F435,Concentrado!$A$2:$A435,"="&amp;$A7,Concentrado!$B$2:$B435, "=Baja California")</f>
        <v>105</v>
      </c>
      <c r="F7" s="11">
        <f>SUMIFS(Concentrado!G$2:G435,Concentrado!$A$2:$A435,"="&amp;$A7,Concentrado!$B$2:$B435, "=Baja California")</f>
        <v>39</v>
      </c>
    </row>
    <row r="8" spans="1:6" x14ac:dyDescent="0.25">
      <c r="A8" s="8">
        <v>2018</v>
      </c>
      <c r="B8" s="11">
        <f>SUMIFS(Concentrado!C$2:C436,Concentrado!$A$2:$A436,"="&amp;$A8,Concentrado!$B$2:$B436, "=Baja California")</f>
        <v>1639</v>
      </c>
      <c r="C8" s="11">
        <f>SUMIFS(Concentrado!D$2:D436,Concentrado!$A$2:$A436,"="&amp;$A8,Concentrado!$B$2:$B436, "=Baja California")</f>
        <v>2153</v>
      </c>
      <c r="D8" s="11">
        <f>SUMIFS(Concentrado!E$2:E436,Concentrado!$A$2:$A436,"="&amp;$A8,Concentrado!$B$2:$B436, "=Baja California")</f>
        <v>1069</v>
      </c>
      <c r="E8" s="11">
        <f>SUMIFS(Concentrado!F$2:F436,Concentrado!$A$2:$A436,"="&amp;$A8,Concentrado!$B$2:$B436, "=Baja California")</f>
        <v>99</v>
      </c>
      <c r="F8" s="11">
        <f>SUMIFS(Concentrado!G$2:G436,Concentrado!$A$2:$A436,"="&amp;$A8,Concentrado!$B$2:$B436, "=Baja California")</f>
        <v>41</v>
      </c>
    </row>
    <row r="9" spans="1:6" x14ac:dyDescent="0.25">
      <c r="A9" s="8">
        <v>2019</v>
      </c>
      <c r="B9" s="11">
        <f>SUMIFS(Concentrado!C$2:C437,Concentrado!$A$2:$A437,"="&amp;$A9,Concentrado!$B$2:$B437, "=Baja California")</f>
        <v>1517</v>
      </c>
      <c r="C9" s="11">
        <f>SUMIFS(Concentrado!D$2:D437,Concentrado!$A$2:$A437,"="&amp;$A9,Concentrado!$B$2:$B437, "=Baja California")</f>
        <v>2134</v>
      </c>
      <c r="D9" s="11">
        <f>SUMIFS(Concentrado!E$2:E437,Concentrado!$A$2:$A437,"="&amp;$A9,Concentrado!$B$2:$B437, "=Baja California")</f>
        <v>1070</v>
      </c>
      <c r="E9" s="11">
        <f>SUMIFS(Concentrado!F$2:F437,Concentrado!$A$2:$A437,"="&amp;$A9,Concentrado!$B$2:$B437, "=Baja California")</f>
        <v>102</v>
      </c>
      <c r="F9" s="11">
        <f>SUMIFS(Concentrado!G$2:G437,Concentrado!$A$2:$A437,"="&amp;$A9,Concentrado!$B$2:$B437, "=Baja California")</f>
        <v>38</v>
      </c>
    </row>
    <row r="10" spans="1:6" x14ac:dyDescent="0.25">
      <c r="A10" s="8">
        <v>2020</v>
      </c>
      <c r="B10" s="11">
        <f>SUMIFS(Concentrado!C$2:C438,Concentrado!$A$2:$A438,"="&amp;$A10,Concentrado!$B$2:$B438, "=Baja California")</f>
        <v>1583</v>
      </c>
      <c r="C10" s="11">
        <f>SUMIFS(Concentrado!D$2:D438,Concentrado!$A$2:$A438,"="&amp;$A10,Concentrado!$B$2:$B438, "=Baja California")</f>
        <v>2234</v>
      </c>
      <c r="D10" s="11">
        <f>SUMIFS(Concentrado!E$2:E438,Concentrado!$A$2:$A438,"="&amp;$A10,Concentrado!$B$2:$B438, "=Baja California")</f>
        <v>1132</v>
      </c>
      <c r="E10" s="11">
        <f>SUMIFS(Concentrado!F$2:F438,Concentrado!$A$2:$A438,"="&amp;$A10,Concentrado!$B$2:$B438, "=Baja California")</f>
        <v>101</v>
      </c>
      <c r="F10" s="11">
        <f>SUMIFS(Concentrado!G$2:G438,Concentrado!$A$2:$A438,"="&amp;$A10,Concentrado!$B$2:$B438, "=Baja California")</f>
        <v>39</v>
      </c>
    </row>
    <row r="11" spans="1:6" x14ac:dyDescent="0.25">
      <c r="A11" s="8">
        <v>2021</v>
      </c>
      <c r="B11" s="11">
        <f>SUMIFS(Concentrado!C$2:C439,Concentrado!$A$2:$A439,"="&amp;$A11,Concentrado!$B$2:$B439, "=Baja California")</f>
        <v>1623</v>
      </c>
      <c r="C11" s="11">
        <f>SUMIFS(Concentrado!D$2:D439,Concentrado!$A$2:$A439,"="&amp;$A11,Concentrado!$B$2:$B439, "=Baja California")</f>
        <v>2219</v>
      </c>
      <c r="D11" s="11">
        <f>SUMIFS(Concentrado!E$2:E439,Concentrado!$A$2:$A439,"="&amp;$A11,Concentrado!$B$2:$B439, "=Baja California")</f>
        <v>1128</v>
      </c>
      <c r="E11" s="11">
        <f>SUMIFS(Concentrado!F$2:F439,Concentrado!$A$2:$A439,"="&amp;$A11,Concentrado!$B$2:$B439, "=Baja California")</f>
        <v>100</v>
      </c>
      <c r="F11" s="11">
        <f>SUMIFS(Concentrado!G$2:G439,Concentrado!$A$2:$A439,"="&amp;$A11,Concentrado!$B$2:$B439, "=Baja California")</f>
        <v>39</v>
      </c>
    </row>
    <row r="12" spans="1:6" x14ac:dyDescent="0.25">
      <c r="A12" s="8">
        <v>2022</v>
      </c>
      <c r="B12" s="11">
        <f>SUMIFS(Concentrado!C$2:C440,Concentrado!$A$2:$A440,"="&amp;$A12,Concentrado!$B$2:$B440, "=Baja California")</f>
        <v>1708</v>
      </c>
      <c r="C12" s="11">
        <f>SUMIFS(Concentrado!D$2:D440,Concentrado!$A$2:$A440,"="&amp;$A12,Concentrado!$B$2:$B440, "=Baja California")</f>
        <v>2349</v>
      </c>
      <c r="D12" s="11">
        <f>SUMIFS(Concentrado!E$2:E440,Concentrado!$A$2:$A440,"="&amp;$A12,Concentrado!$B$2:$B440, "=Baja California")</f>
        <v>1097</v>
      </c>
      <c r="E12" s="11">
        <f>SUMIFS(Concentrado!F$2:F440,Concentrado!$A$2:$A440,"="&amp;$A12,Concentrado!$B$2:$B440, "=Baja California")</f>
        <v>105</v>
      </c>
      <c r="F12" s="11">
        <f>SUMIFS(Concentrado!G$2:G440,Concentrado!$A$2:$A440,"="&amp;$A12,Concentrado!$B$2:$B440, "=Baja California")</f>
        <v>37</v>
      </c>
    </row>
    <row r="13" spans="1:6" x14ac:dyDescent="0.25">
      <c r="A13" s="8">
        <v>2023</v>
      </c>
      <c r="B13" s="11">
        <f>SUMIFS(Concentrado!C$2:C441,Concentrado!$A$2:$A441,"="&amp;$A13,Concentrado!$B$2:$B441, "=Baja California")</f>
        <v>1687</v>
      </c>
      <c r="C13" s="11">
        <f>SUMIFS(Concentrado!D$2:D441,Concentrado!$A$2:$A441,"="&amp;$A13,Concentrado!$B$2:$B441, "=Baja California")</f>
        <v>2378</v>
      </c>
      <c r="D13" s="11">
        <f>SUMIFS(Concentrado!E$2:E441,Concentrado!$A$2:$A441,"="&amp;$A13,Concentrado!$B$2:$B441, "=Baja California")</f>
        <v>1118</v>
      </c>
      <c r="E13" s="11">
        <f>SUMIFS(Concentrado!F$2:F441,Concentrado!$A$2:$A441,"="&amp;$A13,Concentrado!$B$2:$B441, "=Baja California")</f>
        <v>99</v>
      </c>
      <c r="F13" s="11">
        <f>SUMIFS(Concentrado!G$2:G441,Concentrado!$A$2:$A441,"="&amp;$A13,Concentrado!$B$2:$B441, "=Baja California")</f>
        <v>38</v>
      </c>
    </row>
    <row r="14" spans="1:6" x14ac:dyDescent="0.25">
      <c r="A14" s="8">
        <v>2024</v>
      </c>
      <c r="B14" s="11">
        <f>SUMIFS(Concentrado!C$2:C442,Concentrado!$A$2:$A442,"="&amp;$A14,Concentrado!$B$2:$B442, "=Baja California")</f>
        <v>1767</v>
      </c>
      <c r="C14" s="11">
        <f>SUMIFS(Concentrado!D$2:D442,Concentrado!$A$2:$A442,"="&amp;$A14,Concentrado!$B$2:$B442, "=Baja California")</f>
        <v>2606</v>
      </c>
      <c r="D14" s="11">
        <f>SUMIFS(Concentrado!E$2:E442,Concentrado!$A$2:$A442,"="&amp;$A14,Concentrado!$B$2:$B442, "=Baja California")</f>
        <v>1222</v>
      </c>
      <c r="E14" s="11">
        <f>SUMIFS(Concentrado!F$2:F442,Concentrado!$A$2:$A442,"="&amp;$A14,Concentrado!$B$2:$B442, "=Baja California")</f>
        <v>109</v>
      </c>
      <c r="F14" s="11">
        <f>SUMIFS(Concentrado!G$2:G442,Concentrado!$A$2:$A442,"="&amp;$A14,Concentrado!$B$2:$B442, "=Baja California")</f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zoomScale="112" zoomScaleNormal="112" workbookViewId="0">
      <selection activeCell="F14" sqref="F14"/>
    </sheetView>
  </sheetViews>
  <sheetFormatPr baseColWidth="10" defaultRowHeight="15" x14ac:dyDescent="0.25"/>
  <cols>
    <col min="1" max="1" width="12.140625" customWidth="1"/>
    <col min="2" max="2" width="13.28515625" bestFit="1" customWidth="1"/>
    <col min="3" max="3" width="12.42578125" bestFit="1" customWidth="1"/>
    <col min="4" max="4" width="19.140625" customWidth="1"/>
    <col min="5" max="5" width="12.28515625" bestFit="1" customWidth="1"/>
    <col min="6" max="6" width="12" bestFit="1" customWidth="1"/>
  </cols>
  <sheetData>
    <row r="1" spans="1:6" s="4" customFormat="1" ht="42.75" x14ac:dyDescent="0.2">
      <c r="A1" s="1" t="s">
        <v>0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</row>
    <row r="2" spans="1:6" x14ac:dyDescent="0.25">
      <c r="A2" s="8">
        <v>2012</v>
      </c>
      <c r="B2" s="11">
        <f>SUMIFS(Concentrado!C$2:C430,Concentrado!$A$2:$A430,"="&amp;$A2,Concentrado!$B$2:$B430, "=Baja California Sur")</f>
        <v>549</v>
      </c>
      <c r="C2" s="11">
        <f>SUMIFS(Concentrado!D$2:D430,Concentrado!$A$2:$A430,"="&amp;$A2,Concentrado!$B$2:$B430, "=Baja California Sur")</f>
        <v>673</v>
      </c>
      <c r="D2" s="11">
        <f>SUMIFS(Concentrado!E$2:E430,Concentrado!$A$2:$A430,"="&amp;$A2,Concentrado!$B$2:$B430, "=Baja California Sur")</f>
        <v>514</v>
      </c>
      <c r="E2" s="11">
        <f>SUMIFS(Concentrado!F$2:F430,Concentrado!$A$2:$A430,"="&amp;$A2,Concentrado!$B$2:$B430, "=Baja California Sur")</f>
        <v>31</v>
      </c>
      <c r="F2" s="11">
        <f>SUMIFS(Concentrado!G$2:G430,Concentrado!$A$2:$A430,"="&amp;$A2,Concentrado!$B$2:$B430, "=Baja California Sur")</f>
        <v>26</v>
      </c>
    </row>
    <row r="3" spans="1:6" x14ac:dyDescent="0.25">
      <c r="A3" s="8">
        <v>2013</v>
      </c>
      <c r="B3" s="11">
        <f>SUMIFS(Concentrado!C$2:C431,Concentrado!$A$2:$A431,"="&amp;$A3,Concentrado!$B$2:$B431, "=Baja California Sur")</f>
        <v>597</v>
      </c>
      <c r="C3" s="11">
        <f>SUMIFS(Concentrado!D$2:D431,Concentrado!$A$2:$A431,"="&amp;$A3,Concentrado!$B$2:$B431, "=Baja California Sur")</f>
        <v>674</v>
      </c>
      <c r="D3" s="11">
        <f>SUMIFS(Concentrado!E$2:E431,Concentrado!$A$2:$A431,"="&amp;$A3,Concentrado!$B$2:$B431, "=Baja California Sur")</f>
        <v>548</v>
      </c>
      <c r="E3" s="11">
        <f>SUMIFS(Concentrado!F$2:F431,Concentrado!$A$2:$A431,"="&amp;$A3,Concentrado!$B$2:$B431, "=Baja California Sur")</f>
        <v>36</v>
      </c>
      <c r="F3" s="11">
        <f>SUMIFS(Concentrado!G$2:G431,Concentrado!$A$2:$A431,"="&amp;$A3,Concentrado!$B$2:$B431, "=Baja California Sur")</f>
        <v>26</v>
      </c>
    </row>
    <row r="4" spans="1:6" x14ac:dyDescent="0.25">
      <c r="A4" s="8">
        <v>2014</v>
      </c>
      <c r="B4" s="11">
        <f>SUMIFS(Concentrado!C$2:C432,Concentrado!$A$2:$A432,"="&amp;$A4,Concentrado!$B$2:$B432, "=Baja California Sur")</f>
        <v>618</v>
      </c>
      <c r="C4" s="11">
        <f>SUMIFS(Concentrado!D$2:D432,Concentrado!$A$2:$A432,"="&amp;$A4,Concentrado!$B$2:$B432, "=Baja California Sur")</f>
        <v>678</v>
      </c>
      <c r="D4" s="11">
        <f>SUMIFS(Concentrado!E$2:E432,Concentrado!$A$2:$A432,"="&amp;$A4,Concentrado!$B$2:$B432, "=Baja California Sur")</f>
        <v>530</v>
      </c>
      <c r="E4" s="11">
        <f>SUMIFS(Concentrado!F$2:F432,Concentrado!$A$2:$A432,"="&amp;$A4,Concentrado!$B$2:$B432, "=Baja California Sur")</f>
        <v>38</v>
      </c>
      <c r="F4" s="11">
        <f>SUMIFS(Concentrado!G$2:G432,Concentrado!$A$2:$A432,"="&amp;$A4,Concentrado!$B$2:$B432, "=Baja California Sur")</f>
        <v>26</v>
      </c>
    </row>
    <row r="5" spans="1:6" x14ac:dyDescent="0.25">
      <c r="A5" s="8">
        <v>2015</v>
      </c>
      <c r="B5" s="11">
        <f>SUMIFS(Concentrado!C$2:C433,Concentrado!$A$2:$A433,"="&amp;$A5,Concentrado!$B$2:$B433, "=Baja California Sur")</f>
        <v>613</v>
      </c>
      <c r="C5" s="11">
        <f>SUMIFS(Concentrado!D$2:D433,Concentrado!$A$2:$A433,"="&amp;$A5,Concentrado!$B$2:$B433, "=Baja California Sur")</f>
        <v>679</v>
      </c>
      <c r="D5" s="11">
        <f>SUMIFS(Concentrado!E$2:E433,Concentrado!$A$2:$A433,"="&amp;$A5,Concentrado!$B$2:$B433, "=Baja California Sur")</f>
        <v>462</v>
      </c>
      <c r="E5" s="11">
        <f>SUMIFS(Concentrado!F$2:F433,Concentrado!$A$2:$A433,"="&amp;$A5,Concentrado!$B$2:$B433, "=Baja California Sur")</f>
        <v>38</v>
      </c>
      <c r="F5" s="11">
        <f>SUMIFS(Concentrado!G$2:G433,Concentrado!$A$2:$A433,"="&amp;$A5,Concentrado!$B$2:$B433, "=Baja California Sur")</f>
        <v>25</v>
      </c>
    </row>
    <row r="6" spans="1:6" x14ac:dyDescent="0.25">
      <c r="A6" s="8">
        <v>2016</v>
      </c>
      <c r="B6" s="11">
        <f>SUMIFS(Concentrado!C$2:C434,Concentrado!$A$2:$A434,"="&amp;$A6,Concentrado!$B$2:$B434, "=Baja California Sur")</f>
        <v>606</v>
      </c>
      <c r="C6" s="11">
        <f>SUMIFS(Concentrado!D$2:D434,Concentrado!$A$2:$A434,"="&amp;$A6,Concentrado!$B$2:$B434, "=Baja California Sur")</f>
        <v>695</v>
      </c>
      <c r="D6" s="11">
        <f>SUMIFS(Concentrado!E$2:E434,Concentrado!$A$2:$A434,"="&amp;$A6,Concentrado!$B$2:$B434, "=Baja California Sur")</f>
        <v>449</v>
      </c>
      <c r="E6" s="11">
        <f>SUMIFS(Concentrado!F$2:F434,Concentrado!$A$2:$A434,"="&amp;$A6,Concentrado!$B$2:$B434, "=Baja California Sur")</f>
        <v>38</v>
      </c>
      <c r="F6" s="11">
        <f>SUMIFS(Concentrado!G$2:G434,Concentrado!$A$2:$A434,"="&amp;$A6,Concentrado!$B$2:$B434, "=Baja California Sur")</f>
        <v>32</v>
      </c>
    </row>
    <row r="7" spans="1:6" x14ac:dyDescent="0.25">
      <c r="A7" s="8">
        <v>2017</v>
      </c>
      <c r="B7" s="11">
        <f>SUMIFS(Concentrado!C$2:C435,Concentrado!$A$2:$A435,"="&amp;$A7,Concentrado!$B$2:$B435, "=Baja California Sur")</f>
        <v>628</v>
      </c>
      <c r="C7" s="11">
        <f>SUMIFS(Concentrado!D$2:D435,Concentrado!$A$2:$A435,"="&amp;$A7,Concentrado!$B$2:$B435, "=Baja California Sur")</f>
        <v>690</v>
      </c>
      <c r="D7" s="11">
        <f>SUMIFS(Concentrado!E$2:E435,Concentrado!$A$2:$A435,"="&amp;$A7,Concentrado!$B$2:$B435, "=Baja California Sur")</f>
        <v>435</v>
      </c>
      <c r="E7" s="11">
        <f>SUMIFS(Concentrado!F$2:F435,Concentrado!$A$2:$A435,"="&amp;$A7,Concentrado!$B$2:$B435, "=Baja California Sur")</f>
        <v>38</v>
      </c>
      <c r="F7" s="11">
        <f>SUMIFS(Concentrado!G$2:G435,Concentrado!$A$2:$A435,"="&amp;$A7,Concentrado!$B$2:$B435, "=Baja California Sur")</f>
        <v>32</v>
      </c>
    </row>
    <row r="8" spans="1:6" x14ac:dyDescent="0.25">
      <c r="A8" s="8">
        <v>2018</v>
      </c>
      <c r="B8" s="11">
        <f>SUMIFS(Concentrado!C$2:C436,Concentrado!$A$2:$A436,"="&amp;$A8,Concentrado!$B$2:$B436, "=Baja California Sur")</f>
        <v>631</v>
      </c>
      <c r="C8" s="11">
        <f>SUMIFS(Concentrado!D$2:D436,Concentrado!$A$2:$A436,"="&amp;$A8,Concentrado!$B$2:$B436, "=Baja California Sur")</f>
        <v>695</v>
      </c>
      <c r="D8" s="11">
        <f>SUMIFS(Concentrado!E$2:E436,Concentrado!$A$2:$A436,"="&amp;$A8,Concentrado!$B$2:$B436, "=Baja California Sur")</f>
        <v>420</v>
      </c>
      <c r="E8" s="11">
        <f>SUMIFS(Concentrado!F$2:F436,Concentrado!$A$2:$A436,"="&amp;$A8,Concentrado!$B$2:$B436, "=Baja California Sur")</f>
        <v>38</v>
      </c>
      <c r="F8" s="11">
        <f>SUMIFS(Concentrado!G$2:G436,Concentrado!$A$2:$A436,"="&amp;$A8,Concentrado!$B$2:$B436, "=Baja California Sur")</f>
        <v>31</v>
      </c>
    </row>
    <row r="9" spans="1:6" x14ac:dyDescent="0.25">
      <c r="A9" s="8">
        <v>2019</v>
      </c>
      <c r="B9" s="11">
        <f>SUMIFS(Concentrado!C$2:C437,Concentrado!$A$2:$A437,"="&amp;$A9,Concentrado!$B$2:$B437, "=Baja California Sur")</f>
        <v>660</v>
      </c>
      <c r="C9" s="11">
        <f>SUMIFS(Concentrado!D$2:D437,Concentrado!$A$2:$A437,"="&amp;$A9,Concentrado!$B$2:$B437, "=Baja California Sur")</f>
        <v>713</v>
      </c>
      <c r="D9" s="11">
        <f>SUMIFS(Concentrado!E$2:E437,Concentrado!$A$2:$A437,"="&amp;$A9,Concentrado!$B$2:$B437, "=Baja California Sur")</f>
        <v>452</v>
      </c>
      <c r="E9" s="11">
        <f>SUMIFS(Concentrado!F$2:F437,Concentrado!$A$2:$A437,"="&amp;$A9,Concentrado!$B$2:$B437, "=Baja California Sur")</f>
        <v>37</v>
      </c>
      <c r="F9" s="11">
        <f>SUMIFS(Concentrado!G$2:G437,Concentrado!$A$2:$A437,"="&amp;$A9,Concentrado!$B$2:$B437, "=Baja California Sur")</f>
        <v>32</v>
      </c>
    </row>
    <row r="10" spans="1:6" x14ac:dyDescent="0.25">
      <c r="A10" s="8">
        <v>2020</v>
      </c>
      <c r="B10" s="11">
        <f>SUMIFS(Concentrado!C$2:C438,Concentrado!$A$2:$A438,"="&amp;$A10,Concentrado!$B$2:$B438, "=Baja California Sur")</f>
        <v>673</v>
      </c>
      <c r="C10" s="11">
        <f>SUMIFS(Concentrado!D$2:D438,Concentrado!$A$2:$A438,"="&amp;$A10,Concentrado!$B$2:$B438, "=Baja California Sur")</f>
        <v>756</v>
      </c>
      <c r="D10" s="11">
        <f>SUMIFS(Concentrado!E$2:E438,Concentrado!$A$2:$A438,"="&amp;$A10,Concentrado!$B$2:$B438, "=Baja California Sur")</f>
        <v>453</v>
      </c>
      <c r="E10" s="11">
        <f>SUMIFS(Concentrado!F$2:F438,Concentrado!$A$2:$A438,"="&amp;$A10,Concentrado!$B$2:$B438, "=Baja California Sur")</f>
        <v>35</v>
      </c>
      <c r="F10" s="11">
        <f>SUMIFS(Concentrado!G$2:G438,Concentrado!$A$2:$A438,"="&amp;$A10,Concentrado!$B$2:$B438, "=Baja California Sur")</f>
        <v>33</v>
      </c>
    </row>
    <row r="11" spans="1:6" x14ac:dyDescent="0.25">
      <c r="A11" s="8">
        <v>2021</v>
      </c>
      <c r="B11" s="11">
        <f>SUMIFS(Concentrado!C$2:C439,Concentrado!$A$2:$A439,"="&amp;$A11,Concentrado!$B$2:$B439, "=Baja California Sur")</f>
        <v>666</v>
      </c>
      <c r="C11" s="11">
        <f>SUMIFS(Concentrado!D$2:D439,Concentrado!$A$2:$A439,"="&amp;$A11,Concentrado!$B$2:$B439, "=Baja California Sur")</f>
        <v>721</v>
      </c>
      <c r="D11" s="11">
        <f>SUMIFS(Concentrado!E$2:E439,Concentrado!$A$2:$A439,"="&amp;$A11,Concentrado!$B$2:$B439, "=Baja California Sur")</f>
        <v>445</v>
      </c>
      <c r="E11" s="11">
        <f>SUMIFS(Concentrado!F$2:F439,Concentrado!$A$2:$A439,"="&amp;$A11,Concentrado!$B$2:$B439, "=Baja California Sur")</f>
        <v>38</v>
      </c>
      <c r="F11" s="11">
        <f>SUMIFS(Concentrado!G$2:G439,Concentrado!$A$2:$A439,"="&amp;$A11,Concentrado!$B$2:$B439, "=Baja California Sur")</f>
        <v>35</v>
      </c>
    </row>
    <row r="12" spans="1:6" x14ac:dyDescent="0.25">
      <c r="A12" s="8">
        <v>2022</v>
      </c>
      <c r="B12" s="11">
        <f>SUMIFS(Concentrado!C$2:C440,Concentrado!$A$2:$A440,"="&amp;$A12,Concentrado!$B$2:$B440, "=Baja California Sur")</f>
        <v>647</v>
      </c>
      <c r="C12" s="11">
        <f>SUMIFS(Concentrado!D$2:D440,Concentrado!$A$2:$A440,"="&amp;$A12,Concentrado!$B$2:$B440, "=Baja California Sur")</f>
        <v>813</v>
      </c>
      <c r="D12" s="11">
        <f>SUMIFS(Concentrado!E$2:E440,Concentrado!$A$2:$A440,"="&amp;$A12,Concentrado!$B$2:$B440, "=Baja California Sur")</f>
        <v>439</v>
      </c>
      <c r="E12" s="11">
        <f>SUMIFS(Concentrado!F$2:F440,Concentrado!$A$2:$A440,"="&amp;$A12,Concentrado!$B$2:$B440, "=Baja California Sur")</f>
        <v>38</v>
      </c>
      <c r="F12" s="11">
        <f>SUMIFS(Concentrado!G$2:G440,Concentrado!$A$2:$A440,"="&amp;$A12,Concentrado!$B$2:$B440, "=Baja California Sur")</f>
        <v>27</v>
      </c>
    </row>
    <row r="13" spans="1:6" x14ac:dyDescent="0.25">
      <c r="A13" s="8">
        <v>2023</v>
      </c>
      <c r="B13" s="11">
        <f>SUMIFS(Concentrado!C$2:C441,Concentrado!$A$2:$A441,"="&amp;$A13,Concentrado!$B$2:$B441, "=Baja California Sur")</f>
        <v>714</v>
      </c>
      <c r="C13" s="11">
        <f>SUMIFS(Concentrado!D$2:D441,Concentrado!$A$2:$A441,"="&amp;$A13,Concentrado!$B$2:$B441, "=Baja California Sur")</f>
        <v>859</v>
      </c>
      <c r="D13" s="11">
        <f>SUMIFS(Concentrado!E$2:E441,Concentrado!$A$2:$A441,"="&amp;$A13,Concentrado!$B$2:$B441, "=Baja California Sur")</f>
        <v>483</v>
      </c>
      <c r="E13" s="11">
        <f>SUMIFS(Concentrado!F$2:F441,Concentrado!$A$2:$A441,"="&amp;$A13,Concentrado!$B$2:$B441, "=Baja California Sur")</f>
        <v>43</v>
      </c>
      <c r="F13" s="11">
        <f>SUMIFS(Concentrado!G$2:G441,Concentrado!$A$2:$A441,"="&amp;$A13,Concentrado!$B$2:$B441, "=Baja California Sur")</f>
        <v>29</v>
      </c>
    </row>
    <row r="14" spans="1:6" x14ac:dyDescent="0.25">
      <c r="A14" s="8">
        <v>2024</v>
      </c>
      <c r="B14" s="11">
        <f>SUMIFS(Concentrado!C$2:C442,Concentrado!$A$2:$A442,"="&amp;$A14,Concentrado!$B$2:$B442, "=Baja California Sur")</f>
        <v>714</v>
      </c>
      <c r="C14" s="11">
        <f>SUMIFS(Concentrado!D$2:D442,Concentrado!$A$2:$A442,"="&amp;$A14,Concentrado!$B$2:$B442, "=Baja California Sur")</f>
        <v>892</v>
      </c>
      <c r="D14" s="11">
        <f>SUMIFS(Concentrado!E$2:E442,Concentrado!$A$2:$A442,"="&amp;$A14,Concentrado!$B$2:$B442, "=Baja California Sur")</f>
        <v>509</v>
      </c>
      <c r="E14" s="11">
        <f>SUMIFS(Concentrado!F$2:F442,Concentrado!$A$2:$A442,"="&amp;$A14,Concentrado!$B$2:$B442, "=Baja California Sur")</f>
        <v>45</v>
      </c>
      <c r="F14" s="11">
        <f>SUMIFS(Concentrado!G$2:G442,Concentrado!$A$2:$A442,"="&amp;$A14,Concentrado!$B$2:$B442, "=Baja California Sur")</f>
        <v>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zoomScale="112" zoomScaleNormal="112" workbookViewId="0">
      <selection activeCell="F14" sqref="F14"/>
    </sheetView>
  </sheetViews>
  <sheetFormatPr baseColWidth="10" defaultRowHeight="15" x14ac:dyDescent="0.25"/>
  <cols>
    <col min="1" max="1" width="12.140625" customWidth="1"/>
    <col min="2" max="2" width="13.28515625" bestFit="1" customWidth="1"/>
    <col min="3" max="3" width="12.42578125" bestFit="1" customWidth="1"/>
    <col min="4" max="4" width="19.140625" customWidth="1"/>
    <col min="5" max="5" width="12.28515625" bestFit="1" customWidth="1"/>
    <col min="6" max="6" width="12" bestFit="1" customWidth="1"/>
  </cols>
  <sheetData>
    <row r="1" spans="1:6" s="4" customFormat="1" ht="42.75" x14ac:dyDescent="0.2">
      <c r="A1" s="1" t="s">
        <v>0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</row>
    <row r="2" spans="1:6" x14ac:dyDescent="0.25">
      <c r="A2" s="8">
        <v>2012</v>
      </c>
      <c r="B2" s="11">
        <f>SUMIFS(Concentrado!C$2:C430,Concentrado!$A$2:$A430,"="&amp;$A2,Concentrado!$B$2:$B430, "=Campeche")</f>
        <v>791</v>
      </c>
      <c r="C2" s="11">
        <f>SUMIFS(Concentrado!D$2:D430,Concentrado!$A$2:$A430,"="&amp;$A2,Concentrado!$B$2:$B430, "=Campeche")</f>
        <v>860</v>
      </c>
      <c r="D2" s="11">
        <f>SUMIFS(Concentrado!E$2:E430,Concentrado!$A$2:$A430,"="&amp;$A2,Concentrado!$B$2:$B430, "=Campeche")</f>
        <v>549</v>
      </c>
      <c r="E2" s="11">
        <f>SUMIFS(Concentrado!F$2:F430,Concentrado!$A$2:$A430,"="&amp;$A2,Concentrado!$B$2:$B430, "=Campeche")</f>
        <v>35</v>
      </c>
      <c r="F2" s="11">
        <f>SUMIFS(Concentrado!G$2:G430,Concentrado!$A$2:$A430,"="&amp;$A2,Concentrado!$B$2:$B430, "=Campeche")</f>
        <v>24</v>
      </c>
    </row>
    <row r="3" spans="1:6" x14ac:dyDescent="0.25">
      <c r="A3" s="8">
        <v>2013</v>
      </c>
      <c r="B3" s="11">
        <f>SUMIFS(Concentrado!C$2:C431,Concentrado!$A$2:$A431,"="&amp;$A3,Concentrado!$B$2:$B431, "=Campeche")</f>
        <v>828</v>
      </c>
      <c r="C3" s="11">
        <f>SUMIFS(Concentrado!D$2:D431,Concentrado!$A$2:$A431,"="&amp;$A3,Concentrado!$B$2:$B431, "=Campeche")</f>
        <v>945</v>
      </c>
      <c r="D3" s="11">
        <f>SUMIFS(Concentrado!E$2:E431,Concentrado!$A$2:$A431,"="&amp;$A3,Concentrado!$B$2:$B431, "=Campeche")</f>
        <v>609</v>
      </c>
      <c r="E3" s="11">
        <f>SUMIFS(Concentrado!F$2:F431,Concentrado!$A$2:$A431,"="&amp;$A3,Concentrado!$B$2:$B431, "=Campeche")</f>
        <v>40</v>
      </c>
      <c r="F3" s="11">
        <f>SUMIFS(Concentrado!G$2:G431,Concentrado!$A$2:$A431,"="&amp;$A3,Concentrado!$B$2:$B431, "=Campeche")</f>
        <v>25</v>
      </c>
    </row>
    <row r="4" spans="1:6" x14ac:dyDescent="0.25">
      <c r="A4" s="8">
        <v>2014</v>
      </c>
      <c r="B4" s="11">
        <f>SUMIFS(Concentrado!C$2:C432,Concentrado!$A$2:$A432,"="&amp;$A4,Concentrado!$B$2:$B432, "=Campeche")</f>
        <v>820</v>
      </c>
      <c r="C4" s="11">
        <f>SUMIFS(Concentrado!D$2:D432,Concentrado!$A$2:$A432,"="&amp;$A4,Concentrado!$B$2:$B432, "=Campeche")</f>
        <v>939</v>
      </c>
      <c r="D4" s="11">
        <f>SUMIFS(Concentrado!E$2:E432,Concentrado!$A$2:$A432,"="&amp;$A4,Concentrado!$B$2:$B432, "=Campeche")</f>
        <v>618</v>
      </c>
      <c r="E4" s="11">
        <f>SUMIFS(Concentrado!F$2:F432,Concentrado!$A$2:$A432,"="&amp;$A4,Concentrado!$B$2:$B432, "=Campeche")</f>
        <v>39</v>
      </c>
      <c r="F4" s="11">
        <f>SUMIFS(Concentrado!G$2:G432,Concentrado!$A$2:$A432,"="&amp;$A4,Concentrado!$B$2:$B432, "=Campeche")</f>
        <v>25</v>
      </c>
    </row>
    <row r="5" spans="1:6" x14ac:dyDescent="0.25">
      <c r="A5" s="8">
        <v>2015</v>
      </c>
      <c r="B5" s="11">
        <f>SUMIFS(Concentrado!C$2:C433,Concentrado!$A$2:$A433,"="&amp;$A5,Concentrado!$B$2:$B433, "=Campeche")</f>
        <v>774</v>
      </c>
      <c r="C5" s="11">
        <f>SUMIFS(Concentrado!D$2:D433,Concentrado!$A$2:$A433,"="&amp;$A5,Concentrado!$B$2:$B433, "=Campeche")</f>
        <v>779</v>
      </c>
      <c r="D5" s="11">
        <f>SUMIFS(Concentrado!E$2:E433,Concentrado!$A$2:$A433,"="&amp;$A5,Concentrado!$B$2:$B433, "=Campeche")</f>
        <v>537</v>
      </c>
      <c r="E5" s="11">
        <f>SUMIFS(Concentrado!F$2:F433,Concentrado!$A$2:$A433,"="&amp;$A5,Concentrado!$B$2:$B433, "=Campeche")</f>
        <v>38</v>
      </c>
      <c r="F5" s="11">
        <f>SUMIFS(Concentrado!G$2:G433,Concentrado!$A$2:$A433,"="&amp;$A5,Concentrado!$B$2:$B433, "=Campeche")</f>
        <v>24</v>
      </c>
    </row>
    <row r="6" spans="1:6" x14ac:dyDescent="0.25">
      <c r="A6" s="8">
        <v>2016</v>
      </c>
      <c r="B6" s="11">
        <f>SUMIFS(Concentrado!C$2:C434,Concentrado!$A$2:$A434,"="&amp;$A6,Concentrado!$B$2:$B434, "=Campeche")</f>
        <v>787</v>
      </c>
      <c r="C6" s="11">
        <f>SUMIFS(Concentrado!D$2:D434,Concentrado!$A$2:$A434,"="&amp;$A6,Concentrado!$B$2:$B434, "=Campeche")</f>
        <v>789</v>
      </c>
      <c r="D6" s="11">
        <f>SUMIFS(Concentrado!E$2:E434,Concentrado!$A$2:$A434,"="&amp;$A6,Concentrado!$B$2:$B434, "=Campeche")</f>
        <v>544</v>
      </c>
      <c r="E6" s="11">
        <f>SUMIFS(Concentrado!F$2:F434,Concentrado!$A$2:$A434,"="&amp;$A6,Concentrado!$B$2:$B434, "=Campeche")</f>
        <v>37</v>
      </c>
      <c r="F6" s="11">
        <f>SUMIFS(Concentrado!G$2:G434,Concentrado!$A$2:$A434,"="&amp;$A6,Concentrado!$B$2:$B434, "=Campeche")</f>
        <v>31</v>
      </c>
    </row>
    <row r="7" spans="1:6" x14ac:dyDescent="0.25">
      <c r="A7" s="8">
        <v>2017</v>
      </c>
      <c r="B7" s="11">
        <f>SUMIFS(Concentrado!C$2:C435,Concentrado!$A$2:$A435,"="&amp;$A7,Concentrado!$B$2:$B435, "=Campeche")</f>
        <v>804</v>
      </c>
      <c r="C7" s="11">
        <f>SUMIFS(Concentrado!D$2:D435,Concentrado!$A$2:$A435,"="&amp;$A7,Concentrado!$B$2:$B435, "=Campeche")</f>
        <v>764</v>
      </c>
      <c r="D7" s="11">
        <f>SUMIFS(Concentrado!E$2:E435,Concentrado!$A$2:$A435,"="&amp;$A7,Concentrado!$B$2:$B435, "=Campeche")</f>
        <v>549</v>
      </c>
      <c r="E7" s="11">
        <f>SUMIFS(Concentrado!F$2:F435,Concentrado!$A$2:$A435,"="&amp;$A7,Concentrado!$B$2:$B435, "=Campeche")</f>
        <v>45</v>
      </c>
      <c r="F7" s="11">
        <f>SUMIFS(Concentrado!G$2:G435,Concentrado!$A$2:$A435,"="&amp;$A7,Concentrado!$B$2:$B435, "=Campeche")</f>
        <v>30</v>
      </c>
    </row>
    <row r="8" spans="1:6" x14ac:dyDescent="0.25">
      <c r="A8" s="8">
        <v>2018</v>
      </c>
      <c r="B8" s="11">
        <f>SUMIFS(Concentrado!C$2:C436,Concentrado!$A$2:$A436,"="&amp;$A8,Concentrado!$B$2:$B436, "=Campeche")</f>
        <v>811</v>
      </c>
      <c r="C8" s="11">
        <f>SUMIFS(Concentrado!D$2:D436,Concentrado!$A$2:$A436,"="&amp;$A8,Concentrado!$B$2:$B436, "=Campeche")</f>
        <v>790</v>
      </c>
      <c r="D8" s="11">
        <f>SUMIFS(Concentrado!E$2:E436,Concentrado!$A$2:$A436,"="&amp;$A8,Concentrado!$B$2:$B436, "=Campeche")</f>
        <v>539</v>
      </c>
      <c r="E8" s="11">
        <f>SUMIFS(Concentrado!F$2:F436,Concentrado!$A$2:$A436,"="&amp;$A8,Concentrado!$B$2:$B436, "=Campeche")</f>
        <v>40</v>
      </c>
      <c r="F8" s="11">
        <f>SUMIFS(Concentrado!G$2:G436,Concentrado!$A$2:$A436,"="&amp;$A8,Concentrado!$B$2:$B436, "=Campeche")</f>
        <v>28</v>
      </c>
    </row>
    <row r="9" spans="1:6" x14ac:dyDescent="0.25">
      <c r="A9" s="8">
        <v>2019</v>
      </c>
      <c r="B9" s="11">
        <f>SUMIFS(Concentrado!C$2:C437,Concentrado!$A$2:$A437,"="&amp;$A9,Concentrado!$B$2:$B437, "=Campeche")</f>
        <v>777</v>
      </c>
      <c r="C9" s="11">
        <f>SUMIFS(Concentrado!D$2:D437,Concentrado!$A$2:$A437,"="&amp;$A9,Concentrado!$B$2:$B437, "=Campeche")</f>
        <v>802</v>
      </c>
      <c r="D9" s="11">
        <f>SUMIFS(Concentrado!E$2:E437,Concentrado!$A$2:$A437,"="&amp;$A9,Concentrado!$B$2:$B437, "=Campeche")</f>
        <v>587</v>
      </c>
      <c r="E9" s="11">
        <f>SUMIFS(Concentrado!F$2:F437,Concentrado!$A$2:$A437,"="&amp;$A9,Concentrado!$B$2:$B437, "=Campeche")</f>
        <v>41</v>
      </c>
      <c r="F9" s="11">
        <f>SUMIFS(Concentrado!G$2:G437,Concentrado!$A$2:$A437,"="&amp;$A9,Concentrado!$B$2:$B437, "=Campeche")</f>
        <v>24</v>
      </c>
    </row>
    <row r="10" spans="1:6" x14ac:dyDescent="0.25">
      <c r="A10" s="8">
        <v>2020</v>
      </c>
      <c r="B10" s="11">
        <f>SUMIFS(Concentrado!C$2:C438,Concentrado!$A$2:$A438,"="&amp;$A10,Concentrado!$B$2:$B438, "=Campeche")</f>
        <v>808</v>
      </c>
      <c r="C10" s="11">
        <f>SUMIFS(Concentrado!D$2:D438,Concentrado!$A$2:$A438,"="&amp;$A10,Concentrado!$B$2:$B438, "=Campeche")</f>
        <v>843</v>
      </c>
      <c r="D10" s="11">
        <f>SUMIFS(Concentrado!E$2:E438,Concentrado!$A$2:$A438,"="&amp;$A10,Concentrado!$B$2:$B438, "=Campeche")</f>
        <v>564</v>
      </c>
      <c r="E10" s="11">
        <f>SUMIFS(Concentrado!F$2:F438,Concentrado!$A$2:$A438,"="&amp;$A10,Concentrado!$B$2:$B438, "=Campeche")</f>
        <v>39</v>
      </c>
      <c r="F10" s="11">
        <f>SUMIFS(Concentrado!G$2:G438,Concentrado!$A$2:$A438,"="&amp;$A10,Concentrado!$B$2:$B438, "=Campeche")</f>
        <v>21</v>
      </c>
    </row>
    <row r="11" spans="1:6" x14ac:dyDescent="0.25">
      <c r="A11" s="8">
        <v>2021</v>
      </c>
      <c r="B11" s="11">
        <f>SUMIFS(Concentrado!C$2:C439,Concentrado!$A$2:$A439,"="&amp;$A11,Concentrado!$B$2:$B439, "=Campeche")</f>
        <v>764</v>
      </c>
      <c r="C11" s="11">
        <f>SUMIFS(Concentrado!D$2:D439,Concentrado!$A$2:$A439,"="&amp;$A11,Concentrado!$B$2:$B439, "=Campeche")</f>
        <v>860</v>
      </c>
      <c r="D11" s="11">
        <f>SUMIFS(Concentrado!E$2:E439,Concentrado!$A$2:$A439,"="&amp;$A11,Concentrado!$B$2:$B439, "=Campeche")</f>
        <v>561</v>
      </c>
      <c r="E11" s="11">
        <f>SUMIFS(Concentrado!F$2:F439,Concentrado!$A$2:$A439,"="&amp;$A11,Concentrado!$B$2:$B439, "=Campeche")</f>
        <v>40</v>
      </c>
      <c r="F11" s="11">
        <f>SUMIFS(Concentrado!G$2:G439,Concentrado!$A$2:$A439,"="&amp;$A11,Concentrado!$B$2:$B439, "=Campeche")</f>
        <v>22</v>
      </c>
    </row>
    <row r="12" spans="1:6" x14ac:dyDescent="0.25">
      <c r="A12" s="8">
        <v>2022</v>
      </c>
      <c r="B12" s="11">
        <f>SUMIFS(Concentrado!C$2:C440,Concentrado!$A$2:$A440,"="&amp;$A12,Concentrado!$B$2:$B440, "=Campeche")</f>
        <v>815</v>
      </c>
      <c r="C12" s="11">
        <f>SUMIFS(Concentrado!D$2:D440,Concentrado!$A$2:$A440,"="&amp;$A12,Concentrado!$B$2:$B440, "=Campeche")</f>
        <v>927</v>
      </c>
      <c r="D12" s="11">
        <f>SUMIFS(Concentrado!E$2:E440,Concentrado!$A$2:$A440,"="&amp;$A12,Concentrado!$B$2:$B440, "=Campeche")</f>
        <v>555</v>
      </c>
      <c r="E12" s="11">
        <f>SUMIFS(Concentrado!F$2:F440,Concentrado!$A$2:$A440,"="&amp;$A12,Concentrado!$B$2:$B440, "=Campeche")</f>
        <v>44</v>
      </c>
      <c r="F12" s="11">
        <f>SUMIFS(Concentrado!G$2:G440,Concentrado!$A$2:$A440,"="&amp;$A12,Concentrado!$B$2:$B440, "=Campeche")</f>
        <v>22</v>
      </c>
    </row>
    <row r="13" spans="1:6" x14ac:dyDescent="0.25">
      <c r="A13" s="8">
        <v>2023</v>
      </c>
      <c r="B13" s="11">
        <f>SUMIFS(Concentrado!C$2:C441,Concentrado!$A$2:$A441,"="&amp;$A13,Concentrado!$B$2:$B441, "=Campeche")</f>
        <v>799</v>
      </c>
      <c r="C13" s="11">
        <f>SUMIFS(Concentrado!D$2:D441,Concentrado!$A$2:$A441,"="&amp;$A13,Concentrado!$B$2:$B441, "=Campeche")</f>
        <v>847</v>
      </c>
      <c r="D13" s="11">
        <f>SUMIFS(Concentrado!E$2:E441,Concentrado!$A$2:$A441,"="&amp;$A13,Concentrado!$B$2:$B441, "=Campeche")</f>
        <v>583</v>
      </c>
      <c r="E13" s="11">
        <f>SUMIFS(Concentrado!F$2:F441,Concentrado!$A$2:$A441,"="&amp;$A13,Concentrado!$B$2:$B441, "=Campeche")</f>
        <v>45</v>
      </c>
      <c r="F13" s="11">
        <f>SUMIFS(Concentrado!G$2:G441,Concentrado!$A$2:$A441,"="&amp;$A13,Concentrado!$B$2:$B441, "=Campeche")</f>
        <v>23</v>
      </c>
    </row>
    <row r="14" spans="1:6" x14ac:dyDescent="0.25">
      <c r="A14" s="8">
        <v>2024</v>
      </c>
      <c r="B14" s="11">
        <f>SUMIFS(Concentrado!C$2:C442,Concentrado!$A$2:$A442,"="&amp;$A14,Concentrado!$B$2:$B442, "=Campeche")</f>
        <v>834</v>
      </c>
      <c r="C14" s="11">
        <f>SUMIFS(Concentrado!D$2:D442,Concentrado!$A$2:$A442,"="&amp;$A14,Concentrado!$B$2:$B442, "=Campeche")</f>
        <v>847</v>
      </c>
      <c r="D14" s="11">
        <f>SUMIFS(Concentrado!E$2:E442,Concentrado!$A$2:$A442,"="&amp;$A14,Concentrado!$B$2:$B442, "=Campeche")</f>
        <v>598</v>
      </c>
      <c r="E14" s="11">
        <f>SUMIFS(Concentrado!F$2:F442,Concentrado!$A$2:$A442,"="&amp;$A14,Concentrado!$B$2:$B442, "=Campeche")</f>
        <v>47</v>
      </c>
      <c r="F14" s="11">
        <f>SUMIFS(Concentrado!G$2:G442,Concentrado!$A$2:$A442,"="&amp;$A14,Concentrado!$B$2:$B442, "=Campeche")</f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zoomScale="112" zoomScaleNormal="112" workbookViewId="0">
      <selection activeCell="F14" sqref="F14"/>
    </sheetView>
  </sheetViews>
  <sheetFormatPr baseColWidth="10" defaultRowHeight="15" x14ac:dyDescent="0.25"/>
  <cols>
    <col min="1" max="1" width="12.140625" customWidth="1"/>
    <col min="2" max="2" width="13.28515625" bestFit="1" customWidth="1"/>
    <col min="3" max="3" width="12.42578125" bestFit="1" customWidth="1"/>
    <col min="4" max="4" width="19.140625" customWidth="1"/>
    <col min="5" max="5" width="12.28515625" bestFit="1" customWidth="1"/>
    <col min="6" max="6" width="12" bestFit="1" customWidth="1"/>
  </cols>
  <sheetData>
    <row r="1" spans="1:6" s="4" customFormat="1" ht="42.75" x14ac:dyDescent="0.2">
      <c r="A1" s="1" t="s">
        <v>0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</row>
    <row r="2" spans="1:6" x14ac:dyDescent="0.25">
      <c r="A2" s="8">
        <v>2012</v>
      </c>
      <c r="B2" s="11">
        <f>SUMIFS(Concentrado!C$2:C430,Concentrado!$A$2:$A430,"="&amp;$A2,Concentrado!$B$2:$B430, "=Chiapas")</f>
        <v>2732</v>
      </c>
      <c r="C2" s="11">
        <f>SUMIFS(Concentrado!D$2:D430,Concentrado!$A$2:$A430,"="&amp;$A2,Concentrado!$B$2:$B430, "=Chiapas")</f>
        <v>2077</v>
      </c>
      <c r="D2" s="11">
        <f>SUMIFS(Concentrado!E$2:E430,Concentrado!$A$2:$A430,"="&amp;$A2,Concentrado!$B$2:$B430, "=Chiapas")</f>
        <v>2528</v>
      </c>
      <c r="E2" s="11">
        <f>SUMIFS(Concentrado!F$2:F430,Concentrado!$A$2:$A430,"="&amp;$A2,Concentrado!$B$2:$B430, "=Chiapas")</f>
        <v>121</v>
      </c>
      <c r="F2" s="11">
        <f>SUMIFS(Concentrado!G$2:G430,Concentrado!$A$2:$A430,"="&amp;$A2,Concentrado!$B$2:$B430, "=Chiapas")</f>
        <v>84</v>
      </c>
    </row>
    <row r="3" spans="1:6" x14ac:dyDescent="0.25">
      <c r="A3" s="8">
        <v>2013</v>
      </c>
      <c r="B3" s="11">
        <f>SUMIFS(Concentrado!C$2:C431,Concentrado!$A$2:$A431,"="&amp;$A3,Concentrado!$B$2:$B431, "=Chiapas")</f>
        <v>2867</v>
      </c>
      <c r="C3" s="11">
        <f>SUMIFS(Concentrado!D$2:D431,Concentrado!$A$2:$A431,"="&amp;$A3,Concentrado!$B$2:$B431, "=Chiapas")</f>
        <v>2226</v>
      </c>
      <c r="D3" s="11">
        <f>SUMIFS(Concentrado!E$2:E431,Concentrado!$A$2:$A431,"="&amp;$A3,Concentrado!$B$2:$B431, "=Chiapas")</f>
        <v>2616</v>
      </c>
      <c r="E3" s="11">
        <f>SUMIFS(Concentrado!F$2:F431,Concentrado!$A$2:$A431,"="&amp;$A3,Concentrado!$B$2:$B431, "=Chiapas")</f>
        <v>129</v>
      </c>
      <c r="F3" s="11">
        <f>SUMIFS(Concentrado!G$2:G431,Concentrado!$A$2:$A431,"="&amp;$A3,Concentrado!$B$2:$B431, "=Chiapas")</f>
        <v>87</v>
      </c>
    </row>
    <row r="4" spans="1:6" x14ac:dyDescent="0.25">
      <c r="A4" s="8">
        <v>2014</v>
      </c>
      <c r="B4" s="11">
        <f>SUMIFS(Concentrado!C$2:C432,Concentrado!$A$2:$A432,"="&amp;$A4,Concentrado!$B$2:$B432, "=Chiapas")</f>
        <v>2963</v>
      </c>
      <c r="C4" s="11">
        <f>SUMIFS(Concentrado!D$2:D432,Concentrado!$A$2:$A432,"="&amp;$A4,Concentrado!$B$2:$B432, "=Chiapas")</f>
        <v>2240</v>
      </c>
      <c r="D4" s="11">
        <f>SUMIFS(Concentrado!E$2:E432,Concentrado!$A$2:$A432,"="&amp;$A4,Concentrado!$B$2:$B432, "=Chiapas")</f>
        <v>2664</v>
      </c>
      <c r="E4" s="11">
        <f>SUMIFS(Concentrado!F$2:F432,Concentrado!$A$2:$A432,"="&amp;$A4,Concentrado!$B$2:$B432, "=Chiapas")</f>
        <v>128</v>
      </c>
      <c r="F4" s="11">
        <f>SUMIFS(Concentrado!G$2:G432,Concentrado!$A$2:$A432,"="&amp;$A4,Concentrado!$B$2:$B432, "=Chiapas")</f>
        <v>92</v>
      </c>
    </row>
    <row r="5" spans="1:6" x14ac:dyDescent="0.25">
      <c r="A5" s="8">
        <v>2015</v>
      </c>
      <c r="B5" s="11">
        <f>SUMIFS(Concentrado!C$2:C433,Concentrado!$A$2:$A433,"="&amp;$A5,Concentrado!$B$2:$B433, "=Chiapas")</f>
        <v>3011</v>
      </c>
      <c r="C5" s="11">
        <f>SUMIFS(Concentrado!D$2:D433,Concentrado!$A$2:$A433,"="&amp;$A5,Concentrado!$B$2:$B433, "=Chiapas")</f>
        <v>2193</v>
      </c>
      <c r="D5" s="11">
        <f>SUMIFS(Concentrado!E$2:E433,Concentrado!$A$2:$A433,"="&amp;$A5,Concentrado!$B$2:$B433, "=Chiapas")</f>
        <v>1629</v>
      </c>
      <c r="E5" s="11">
        <f>SUMIFS(Concentrado!F$2:F433,Concentrado!$A$2:$A433,"="&amp;$A5,Concentrado!$B$2:$B433, "=Chiapas")</f>
        <v>133</v>
      </c>
      <c r="F5" s="11">
        <f>SUMIFS(Concentrado!G$2:G433,Concentrado!$A$2:$A433,"="&amp;$A5,Concentrado!$B$2:$B433, "=Chiapas")</f>
        <v>95</v>
      </c>
    </row>
    <row r="6" spans="1:6" x14ac:dyDescent="0.25">
      <c r="A6" s="8">
        <v>2016</v>
      </c>
      <c r="B6" s="11">
        <f>SUMIFS(Concentrado!C$2:C434,Concentrado!$A$2:$A434,"="&amp;$A6,Concentrado!$B$2:$B434, "=Chiapas")</f>
        <v>3064</v>
      </c>
      <c r="C6" s="11">
        <f>SUMIFS(Concentrado!D$2:D434,Concentrado!$A$2:$A434,"="&amp;$A6,Concentrado!$B$2:$B434, "=Chiapas")</f>
        <v>2350</v>
      </c>
      <c r="D6" s="11">
        <f>SUMIFS(Concentrado!E$2:E434,Concentrado!$A$2:$A434,"="&amp;$A6,Concentrado!$B$2:$B434, "=Chiapas")</f>
        <v>1690</v>
      </c>
      <c r="E6" s="11">
        <f>SUMIFS(Concentrado!F$2:F434,Concentrado!$A$2:$A434,"="&amp;$A6,Concentrado!$B$2:$B434, "=Chiapas")</f>
        <v>136</v>
      </c>
      <c r="F6" s="11">
        <f>SUMIFS(Concentrado!G$2:G434,Concentrado!$A$2:$A434,"="&amp;$A6,Concentrado!$B$2:$B434, "=Chiapas")</f>
        <v>93</v>
      </c>
    </row>
    <row r="7" spans="1:6" x14ac:dyDescent="0.25">
      <c r="A7" s="8">
        <v>2017</v>
      </c>
      <c r="B7" s="11">
        <f>SUMIFS(Concentrado!C$2:C435,Concentrado!$A$2:$A435,"="&amp;$A7,Concentrado!$B$2:$B435, "=Chiapas")</f>
        <v>3020</v>
      </c>
      <c r="C7" s="11">
        <f>SUMIFS(Concentrado!D$2:D435,Concentrado!$A$2:$A435,"="&amp;$A7,Concentrado!$B$2:$B435, "=Chiapas")</f>
        <v>2412</v>
      </c>
      <c r="D7" s="11">
        <f>SUMIFS(Concentrado!E$2:E435,Concentrado!$A$2:$A435,"="&amp;$A7,Concentrado!$B$2:$B435, "=Chiapas")</f>
        <v>1561</v>
      </c>
      <c r="E7" s="11">
        <f>SUMIFS(Concentrado!F$2:F435,Concentrado!$A$2:$A435,"="&amp;$A7,Concentrado!$B$2:$B435, "=Chiapas")</f>
        <v>142</v>
      </c>
      <c r="F7" s="11">
        <f>SUMIFS(Concentrado!G$2:G435,Concentrado!$A$2:$A435,"="&amp;$A7,Concentrado!$B$2:$B435, "=Chiapas")</f>
        <v>94</v>
      </c>
    </row>
    <row r="8" spans="1:6" x14ac:dyDescent="0.25">
      <c r="A8" s="8">
        <v>2018</v>
      </c>
      <c r="B8" s="11">
        <f>SUMIFS(Concentrado!C$2:C436,Concentrado!$A$2:$A436,"="&amp;$A8,Concentrado!$B$2:$B436, "=Chiapas")</f>
        <v>3122</v>
      </c>
      <c r="C8" s="11">
        <f>SUMIFS(Concentrado!D$2:D436,Concentrado!$A$2:$A436,"="&amp;$A8,Concentrado!$B$2:$B436, "=Chiapas")</f>
        <v>2260</v>
      </c>
      <c r="D8" s="11">
        <f>SUMIFS(Concentrado!E$2:E436,Concentrado!$A$2:$A436,"="&amp;$A8,Concentrado!$B$2:$B436, "=Chiapas")</f>
        <v>1589</v>
      </c>
      <c r="E8" s="11">
        <f>SUMIFS(Concentrado!F$2:F436,Concentrado!$A$2:$A436,"="&amp;$A8,Concentrado!$B$2:$B436, "=Chiapas")</f>
        <v>146</v>
      </c>
      <c r="F8" s="11">
        <f>SUMIFS(Concentrado!G$2:G436,Concentrado!$A$2:$A436,"="&amp;$A8,Concentrado!$B$2:$B436, "=Chiapas")</f>
        <v>94</v>
      </c>
    </row>
    <row r="9" spans="1:6" x14ac:dyDescent="0.25">
      <c r="A9" s="8">
        <v>2019</v>
      </c>
      <c r="B9" s="11">
        <f>SUMIFS(Concentrado!C$2:C437,Concentrado!$A$2:$A437,"="&amp;$A9,Concentrado!$B$2:$B437, "=Chiapas")</f>
        <v>3098</v>
      </c>
      <c r="C9" s="11">
        <f>SUMIFS(Concentrado!D$2:D437,Concentrado!$A$2:$A437,"="&amp;$A9,Concentrado!$B$2:$B437, "=Chiapas")</f>
        <v>2252</v>
      </c>
      <c r="D9" s="11">
        <f>SUMIFS(Concentrado!E$2:E437,Concentrado!$A$2:$A437,"="&amp;$A9,Concentrado!$B$2:$B437, "=Chiapas")</f>
        <v>1636</v>
      </c>
      <c r="E9" s="11">
        <f>SUMIFS(Concentrado!F$2:F437,Concentrado!$A$2:$A437,"="&amp;$A9,Concentrado!$B$2:$B437, "=Chiapas")</f>
        <v>151</v>
      </c>
      <c r="F9" s="11">
        <f>SUMIFS(Concentrado!G$2:G437,Concentrado!$A$2:$A437,"="&amp;$A9,Concentrado!$B$2:$B437, "=Chiapas")</f>
        <v>97</v>
      </c>
    </row>
    <row r="10" spans="1:6" x14ac:dyDescent="0.25">
      <c r="A10" s="8">
        <v>2020</v>
      </c>
      <c r="B10" s="11">
        <f>SUMIFS(Concentrado!C$2:C438,Concentrado!$A$2:$A438,"="&amp;$A10,Concentrado!$B$2:$B438, "=Chiapas")</f>
        <v>3164</v>
      </c>
      <c r="C10" s="11">
        <f>SUMIFS(Concentrado!D$2:D438,Concentrado!$A$2:$A438,"="&amp;$A10,Concentrado!$B$2:$B438, "=Chiapas")</f>
        <v>2495</v>
      </c>
      <c r="D10" s="11">
        <f>SUMIFS(Concentrado!E$2:E438,Concentrado!$A$2:$A438,"="&amp;$A10,Concentrado!$B$2:$B438, "=Chiapas")</f>
        <v>1638</v>
      </c>
      <c r="E10" s="11">
        <f>SUMIFS(Concentrado!F$2:F438,Concentrado!$A$2:$A438,"="&amp;$A10,Concentrado!$B$2:$B438, "=Chiapas")</f>
        <v>145</v>
      </c>
      <c r="F10" s="11">
        <f>SUMIFS(Concentrado!G$2:G438,Concentrado!$A$2:$A438,"="&amp;$A10,Concentrado!$B$2:$B438, "=Chiapas")</f>
        <v>101</v>
      </c>
    </row>
    <row r="11" spans="1:6" x14ac:dyDescent="0.25">
      <c r="A11" s="8">
        <v>2021</v>
      </c>
      <c r="B11" s="11">
        <f>SUMIFS(Concentrado!C$2:C439,Concentrado!$A$2:$A439,"="&amp;$A11,Concentrado!$B$2:$B439, "=Chiapas")</f>
        <v>3242</v>
      </c>
      <c r="C11" s="11">
        <f>SUMIFS(Concentrado!D$2:D439,Concentrado!$A$2:$A439,"="&amp;$A11,Concentrado!$B$2:$B439, "=Chiapas")</f>
        <v>2645</v>
      </c>
      <c r="D11" s="11">
        <f>SUMIFS(Concentrado!E$2:E439,Concentrado!$A$2:$A439,"="&amp;$A11,Concentrado!$B$2:$B439, "=Chiapas")</f>
        <v>1727</v>
      </c>
      <c r="E11" s="11">
        <f>SUMIFS(Concentrado!F$2:F439,Concentrado!$A$2:$A439,"="&amp;$A11,Concentrado!$B$2:$B439, "=Chiapas")</f>
        <v>145</v>
      </c>
      <c r="F11" s="11">
        <f>SUMIFS(Concentrado!G$2:G439,Concentrado!$A$2:$A439,"="&amp;$A11,Concentrado!$B$2:$B439, "=Chiapas")</f>
        <v>104</v>
      </c>
    </row>
    <row r="12" spans="1:6" x14ac:dyDescent="0.25">
      <c r="A12" s="8">
        <v>2022</v>
      </c>
      <c r="B12" s="11">
        <f>SUMIFS(Concentrado!C$2:C440,Concentrado!$A$2:$A440,"="&amp;$A12,Concentrado!$B$2:$B440, "=Chiapas")</f>
        <v>3928</v>
      </c>
      <c r="C12" s="11">
        <f>SUMIFS(Concentrado!D$2:D440,Concentrado!$A$2:$A440,"="&amp;$A12,Concentrado!$B$2:$B440, "=Chiapas")</f>
        <v>2699</v>
      </c>
      <c r="D12" s="11">
        <f>SUMIFS(Concentrado!E$2:E440,Concentrado!$A$2:$A440,"="&amp;$A12,Concentrado!$B$2:$B440, "=Chiapas")</f>
        <v>1773</v>
      </c>
      <c r="E12" s="11">
        <f>SUMIFS(Concentrado!F$2:F440,Concentrado!$A$2:$A440,"="&amp;$A12,Concentrado!$B$2:$B440, "=Chiapas")</f>
        <v>151</v>
      </c>
      <c r="F12" s="11">
        <f>SUMIFS(Concentrado!G$2:G440,Concentrado!$A$2:$A440,"="&amp;$A12,Concentrado!$B$2:$B440, "=Chiapas")</f>
        <v>114</v>
      </c>
    </row>
    <row r="13" spans="1:6" x14ac:dyDescent="0.25">
      <c r="A13" s="8">
        <v>2023</v>
      </c>
      <c r="B13" s="11">
        <f>SUMIFS(Concentrado!C$2:C441,Concentrado!$A$2:$A441,"="&amp;$A13,Concentrado!$B$2:$B441, "=Chiapas")</f>
        <v>3851</v>
      </c>
      <c r="C13" s="11">
        <f>SUMIFS(Concentrado!D$2:D441,Concentrado!$A$2:$A441,"="&amp;$A13,Concentrado!$B$2:$B441, "=Chiapas")</f>
        <v>2503</v>
      </c>
      <c r="D13" s="11">
        <f>SUMIFS(Concentrado!E$2:E441,Concentrado!$A$2:$A441,"="&amp;$A13,Concentrado!$B$2:$B441, "=Chiapas")</f>
        <v>1735</v>
      </c>
      <c r="E13" s="11">
        <f>SUMIFS(Concentrado!F$2:F441,Concentrado!$A$2:$A441,"="&amp;$A13,Concentrado!$B$2:$B441, "=Chiapas")</f>
        <v>144</v>
      </c>
      <c r="F13" s="11">
        <f>SUMIFS(Concentrado!G$2:G441,Concentrado!$A$2:$A441,"="&amp;$A13,Concentrado!$B$2:$B441, "=Chiapas")</f>
        <v>119</v>
      </c>
    </row>
    <row r="14" spans="1:6" x14ac:dyDescent="0.25">
      <c r="A14" s="8">
        <v>2024</v>
      </c>
      <c r="B14" s="11">
        <f>SUMIFS(Concentrado!C$2:C442,Concentrado!$A$2:$A442,"="&amp;$A14,Concentrado!$B$2:$B442, "=Chiapas")</f>
        <v>3953</v>
      </c>
      <c r="C14" s="11">
        <f>SUMIFS(Concentrado!D$2:D442,Concentrado!$A$2:$A442,"="&amp;$A14,Concentrado!$B$2:$B442, "=Chiapas")</f>
        <v>2427</v>
      </c>
      <c r="D14" s="11">
        <f>SUMIFS(Concentrado!E$2:E442,Concentrado!$A$2:$A442,"="&amp;$A14,Concentrado!$B$2:$B442, "=Chiapas")</f>
        <v>1914</v>
      </c>
      <c r="E14" s="11">
        <f>SUMIFS(Concentrado!F$2:F442,Concentrado!$A$2:$A442,"="&amp;$A14,Concentrado!$B$2:$B442, "=Chiapas")</f>
        <v>152</v>
      </c>
      <c r="F14" s="11">
        <f>SUMIFS(Concentrado!G$2:G442,Concentrado!$A$2:$A442,"="&amp;$A14,Concentrado!$B$2:$B442, "=Chiapas")</f>
        <v>129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zoomScale="112" zoomScaleNormal="112" workbookViewId="0">
      <selection activeCell="F14" sqref="F14"/>
    </sheetView>
  </sheetViews>
  <sheetFormatPr baseColWidth="10" defaultRowHeight="15" x14ac:dyDescent="0.25"/>
  <cols>
    <col min="1" max="1" width="12.140625" customWidth="1"/>
    <col min="2" max="2" width="13.28515625" bestFit="1" customWidth="1"/>
    <col min="3" max="3" width="12.42578125" bestFit="1" customWidth="1"/>
    <col min="4" max="4" width="19.140625" customWidth="1"/>
    <col min="5" max="5" width="12.28515625" bestFit="1" customWidth="1"/>
    <col min="6" max="6" width="12" bestFit="1" customWidth="1"/>
  </cols>
  <sheetData>
    <row r="1" spans="1:6" s="4" customFormat="1" ht="42.75" x14ac:dyDescent="0.2">
      <c r="A1" s="1" t="s">
        <v>0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</row>
    <row r="2" spans="1:6" x14ac:dyDescent="0.25">
      <c r="A2" s="8">
        <v>2012</v>
      </c>
      <c r="B2" s="11">
        <f>SUMIFS(Concentrado!C$2:C430,Concentrado!$A$2:$A430,"="&amp;$A2,Concentrado!$B$2:$B430, "=Chihuahua")</f>
        <v>1892</v>
      </c>
      <c r="C2" s="11">
        <f>SUMIFS(Concentrado!D$2:D430,Concentrado!$A$2:$A430,"="&amp;$A2,Concentrado!$B$2:$B430, "=Chihuahua")</f>
        <v>2767</v>
      </c>
      <c r="D2" s="11">
        <f>SUMIFS(Concentrado!E$2:E430,Concentrado!$A$2:$A430,"="&amp;$A2,Concentrado!$B$2:$B430, "=Chihuahua")</f>
        <v>1682</v>
      </c>
      <c r="E2" s="11">
        <f>SUMIFS(Concentrado!F$2:F430,Concentrado!$A$2:$A430,"="&amp;$A2,Concentrado!$B$2:$B430, "=Chihuahua")</f>
        <v>113</v>
      </c>
      <c r="F2" s="11">
        <f>SUMIFS(Concentrado!G$2:G430,Concentrado!$A$2:$A430,"="&amp;$A2,Concentrado!$B$2:$B430, "=Chihuahua")</f>
        <v>75</v>
      </c>
    </row>
    <row r="3" spans="1:6" x14ac:dyDescent="0.25">
      <c r="A3" s="8">
        <v>2013</v>
      </c>
      <c r="B3" s="11">
        <f>SUMIFS(Concentrado!C$2:C431,Concentrado!$A$2:$A431,"="&amp;$A3,Concentrado!$B$2:$B431, "=Chihuahua")</f>
        <v>2012</v>
      </c>
      <c r="C3" s="11">
        <f>SUMIFS(Concentrado!D$2:D431,Concentrado!$A$2:$A431,"="&amp;$A3,Concentrado!$B$2:$B431, "=Chihuahua")</f>
        <v>2781</v>
      </c>
      <c r="D3" s="11">
        <f>SUMIFS(Concentrado!E$2:E431,Concentrado!$A$2:$A431,"="&amp;$A3,Concentrado!$B$2:$B431, "=Chihuahua")</f>
        <v>1801</v>
      </c>
      <c r="E3" s="11">
        <f>SUMIFS(Concentrado!F$2:F431,Concentrado!$A$2:$A431,"="&amp;$A3,Concentrado!$B$2:$B431, "=Chihuahua")</f>
        <v>122</v>
      </c>
      <c r="F3" s="11">
        <f>SUMIFS(Concentrado!G$2:G431,Concentrado!$A$2:$A431,"="&amp;$A3,Concentrado!$B$2:$B431, "=Chihuahua")</f>
        <v>75</v>
      </c>
    </row>
    <row r="4" spans="1:6" x14ac:dyDescent="0.25">
      <c r="A4" s="8">
        <v>2014</v>
      </c>
      <c r="B4" s="11">
        <f>SUMIFS(Concentrado!C$2:C432,Concentrado!$A$2:$A432,"="&amp;$A4,Concentrado!$B$2:$B432, "=Chihuahua")</f>
        <v>2042</v>
      </c>
      <c r="C4" s="11">
        <f>SUMIFS(Concentrado!D$2:D432,Concentrado!$A$2:$A432,"="&amp;$A4,Concentrado!$B$2:$B432, "=Chihuahua")</f>
        <v>2800</v>
      </c>
      <c r="D4" s="11">
        <f>SUMIFS(Concentrado!E$2:E432,Concentrado!$A$2:$A432,"="&amp;$A4,Concentrado!$B$2:$B432, "=Chihuahua")</f>
        <v>1748</v>
      </c>
      <c r="E4" s="11">
        <f>SUMIFS(Concentrado!F$2:F432,Concentrado!$A$2:$A432,"="&amp;$A4,Concentrado!$B$2:$B432, "=Chihuahua")</f>
        <v>113</v>
      </c>
      <c r="F4" s="11">
        <f>SUMIFS(Concentrado!G$2:G432,Concentrado!$A$2:$A432,"="&amp;$A4,Concentrado!$B$2:$B432, "=Chihuahua")</f>
        <v>74</v>
      </c>
    </row>
    <row r="5" spans="1:6" x14ac:dyDescent="0.25">
      <c r="A5" s="8">
        <v>2015</v>
      </c>
      <c r="B5" s="11">
        <f>SUMIFS(Concentrado!C$2:C433,Concentrado!$A$2:$A433,"="&amp;$A5,Concentrado!$B$2:$B433, "=Chihuahua")</f>
        <v>2080</v>
      </c>
      <c r="C5" s="11">
        <f>SUMIFS(Concentrado!D$2:D433,Concentrado!$A$2:$A433,"="&amp;$A5,Concentrado!$B$2:$B433, "=Chihuahua")</f>
        <v>2873</v>
      </c>
      <c r="D5" s="11">
        <f>SUMIFS(Concentrado!E$2:E433,Concentrado!$A$2:$A433,"="&amp;$A5,Concentrado!$B$2:$B433, "=Chihuahua")</f>
        <v>1637</v>
      </c>
      <c r="E5" s="11">
        <f>SUMIFS(Concentrado!F$2:F433,Concentrado!$A$2:$A433,"="&amp;$A5,Concentrado!$B$2:$B433, "=Chihuahua")</f>
        <v>121</v>
      </c>
      <c r="F5" s="11">
        <f>SUMIFS(Concentrado!G$2:G433,Concentrado!$A$2:$A433,"="&amp;$A5,Concentrado!$B$2:$B433, "=Chihuahua")</f>
        <v>89</v>
      </c>
    </row>
    <row r="6" spans="1:6" x14ac:dyDescent="0.25">
      <c r="A6" s="8">
        <v>2016</v>
      </c>
      <c r="B6" s="11">
        <f>SUMIFS(Concentrado!C$2:C434,Concentrado!$A$2:$A434,"="&amp;$A6,Concentrado!$B$2:$B434, "=Chihuahua")</f>
        <v>2029</v>
      </c>
      <c r="C6" s="11">
        <f>SUMIFS(Concentrado!D$2:D434,Concentrado!$A$2:$A434,"="&amp;$A6,Concentrado!$B$2:$B434, "=Chihuahua")</f>
        <v>2814</v>
      </c>
      <c r="D6" s="11">
        <f>SUMIFS(Concentrado!E$2:E434,Concentrado!$A$2:$A434,"="&amp;$A6,Concentrado!$B$2:$B434, "=Chihuahua")</f>
        <v>1685</v>
      </c>
      <c r="E6" s="11">
        <f>SUMIFS(Concentrado!F$2:F434,Concentrado!$A$2:$A434,"="&amp;$A6,Concentrado!$B$2:$B434, "=Chihuahua")</f>
        <v>120</v>
      </c>
      <c r="F6" s="11">
        <f>SUMIFS(Concentrado!G$2:G434,Concentrado!$A$2:$A434,"="&amp;$A6,Concentrado!$B$2:$B434, "=Chihuahua")</f>
        <v>95</v>
      </c>
    </row>
    <row r="7" spans="1:6" x14ac:dyDescent="0.25">
      <c r="A7" s="8">
        <v>2017</v>
      </c>
      <c r="B7" s="11">
        <f>SUMIFS(Concentrado!C$2:C435,Concentrado!$A$2:$A435,"="&amp;$A7,Concentrado!$B$2:$B435, "=Chihuahua")</f>
        <v>2003</v>
      </c>
      <c r="C7" s="11">
        <f>SUMIFS(Concentrado!D$2:D435,Concentrado!$A$2:$A435,"="&amp;$A7,Concentrado!$B$2:$B435, "=Chihuahua")</f>
        <v>2905</v>
      </c>
      <c r="D7" s="11">
        <f>SUMIFS(Concentrado!E$2:E435,Concentrado!$A$2:$A435,"="&amp;$A7,Concentrado!$B$2:$B435, "=Chihuahua")</f>
        <v>1620</v>
      </c>
      <c r="E7" s="11">
        <f>SUMIFS(Concentrado!F$2:F435,Concentrado!$A$2:$A435,"="&amp;$A7,Concentrado!$B$2:$B435, "=Chihuahua")</f>
        <v>133</v>
      </c>
      <c r="F7" s="11">
        <f>SUMIFS(Concentrado!G$2:G435,Concentrado!$A$2:$A435,"="&amp;$A7,Concentrado!$B$2:$B435, "=Chihuahua")</f>
        <v>97</v>
      </c>
    </row>
    <row r="8" spans="1:6" x14ac:dyDescent="0.25">
      <c r="A8" s="8">
        <v>2018</v>
      </c>
      <c r="B8" s="11">
        <f>SUMIFS(Concentrado!C$2:C436,Concentrado!$A$2:$A436,"="&amp;$A8,Concentrado!$B$2:$B436, "=Chihuahua")</f>
        <v>2148</v>
      </c>
      <c r="C8" s="11">
        <f>SUMIFS(Concentrado!D$2:D436,Concentrado!$A$2:$A436,"="&amp;$A8,Concentrado!$B$2:$B436, "=Chihuahua")</f>
        <v>2915</v>
      </c>
      <c r="D8" s="11">
        <f>SUMIFS(Concentrado!E$2:E436,Concentrado!$A$2:$A436,"="&amp;$A8,Concentrado!$B$2:$B436, "=Chihuahua")</f>
        <v>1619</v>
      </c>
      <c r="E8" s="11">
        <f>SUMIFS(Concentrado!F$2:F436,Concentrado!$A$2:$A436,"="&amp;$A8,Concentrado!$B$2:$B436, "=Chihuahua")</f>
        <v>141</v>
      </c>
      <c r="F8" s="11">
        <f>SUMIFS(Concentrado!G$2:G436,Concentrado!$A$2:$A436,"="&amp;$A8,Concentrado!$B$2:$B436, "=Chihuahua")</f>
        <v>97</v>
      </c>
    </row>
    <row r="9" spans="1:6" x14ac:dyDescent="0.25">
      <c r="A9" s="8">
        <v>2019</v>
      </c>
      <c r="B9" s="11">
        <f>SUMIFS(Concentrado!C$2:C437,Concentrado!$A$2:$A437,"="&amp;$A9,Concentrado!$B$2:$B437, "=Chihuahua")</f>
        <v>2079</v>
      </c>
      <c r="C9" s="11">
        <f>SUMIFS(Concentrado!D$2:D437,Concentrado!$A$2:$A437,"="&amp;$A9,Concentrado!$B$2:$B437, "=Chihuahua")</f>
        <v>3015</v>
      </c>
      <c r="D9" s="11">
        <f>SUMIFS(Concentrado!E$2:E437,Concentrado!$A$2:$A437,"="&amp;$A9,Concentrado!$B$2:$B437, "=Chihuahua")</f>
        <v>1731</v>
      </c>
      <c r="E9" s="11">
        <f>SUMIFS(Concentrado!F$2:F437,Concentrado!$A$2:$A437,"="&amp;$A9,Concentrado!$B$2:$B437, "=Chihuahua")</f>
        <v>138</v>
      </c>
      <c r="F9" s="11">
        <f>SUMIFS(Concentrado!G$2:G437,Concentrado!$A$2:$A437,"="&amp;$A9,Concentrado!$B$2:$B437, "=Chihuahua")</f>
        <v>114</v>
      </c>
    </row>
    <row r="10" spans="1:6" x14ac:dyDescent="0.25">
      <c r="A10" s="8">
        <v>2020</v>
      </c>
      <c r="B10" s="11">
        <f>SUMIFS(Concentrado!C$2:C438,Concentrado!$A$2:$A438,"="&amp;$A10,Concentrado!$B$2:$B438, "=Chihuahua")</f>
        <v>2267</v>
      </c>
      <c r="C10" s="11">
        <f>SUMIFS(Concentrado!D$2:D438,Concentrado!$A$2:$A438,"="&amp;$A10,Concentrado!$B$2:$B438, "=Chihuahua")</f>
        <v>2845</v>
      </c>
      <c r="D10" s="11">
        <f>SUMIFS(Concentrado!E$2:E438,Concentrado!$A$2:$A438,"="&amp;$A10,Concentrado!$B$2:$B438, "=Chihuahua")</f>
        <v>1758</v>
      </c>
      <c r="E10" s="11">
        <f>SUMIFS(Concentrado!F$2:F438,Concentrado!$A$2:$A438,"="&amp;$A10,Concentrado!$B$2:$B438, "=Chihuahua")</f>
        <v>133</v>
      </c>
      <c r="F10" s="11">
        <f>SUMIFS(Concentrado!G$2:G438,Concentrado!$A$2:$A438,"="&amp;$A10,Concentrado!$B$2:$B438, "=Chihuahua")</f>
        <v>93</v>
      </c>
    </row>
    <row r="11" spans="1:6" x14ac:dyDescent="0.25">
      <c r="A11" s="8">
        <v>2021</v>
      </c>
      <c r="B11" s="11">
        <f>SUMIFS(Concentrado!C$2:C439,Concentrado!$A$2:$A439,"="&amp;$A11,Concentrado!$B$2:$B439, "=Chihuahua")</f>
        <v>2120</v>
      </c>
      <c r="C11" s="11">
        <f>SUMIFS(Concentrado!D$2:D439,Concentrado!$A$2:$A439,"="&amp;$A11,Concentrado!$B$2:$B439, "=Chihuahua")</f>
        <v>2906</v>
      </c>
      <c r="D11" s="11">
        <f>SUMIFS(Concentrado!E$2:E439,Concentrado!$A$2:$A439,"="&amp;$A11,Concentrado!$B$2:$B439, "=Chihuahua")</f>
        <v>1758</v>
      </c>
      <c r="E11" s="11">
        <f>SUMIFS(Concentrado!F$2:F439,Concentrado!$A$2:$A439,"="&amp;$A11,Concentrado!$B$2:$B439, "=Chihuahua")</f>
        <v>122</v>
      </c>
      <c r="F11" s="11">
        <f>SUMIFS(Concentrado!G$2:G439,Concentrado!$A$2:$A439,"="&amp;$A11,Concentrado!$B$2:$B439, "=Chihuahua")</f>
        <v>93</v>
      </c>
    </row>
    <row r="12" spans="1:6" x14ac:dyDescent="0.25">
      <c r="A12" s="8">
        <v>2022</v>
      </c>
      <c r="B12" s="11">
        <f>SUMIFS(Concentrado!C$2:C440,Concentrado!$A$2:$A440,"="&amp;$A12,Concentrado!$B$2:$B440, "=Chihuahua")</f>
        <v>2269</v>
      </c>
      <c r="C12" s="11">
        <f>SUMIFS(Concentrado!D$2:D440,Concentrado!$A$2:$A440,"="&amp;$A12,Concentrado!$B$2:$B440, "=Chihuahua")</f>
        <v>3131</v>
      </c>
      <c r="D12" s="11">
        <f>SUMIFS(Concentrado!E$2:E440,Concentrado!$A$2:$A440,"="&amp;$A12,Concentrado!$B$2:$B440, "=Chihuahua")</f>
        <v>1569</v>
      </c>
      <c r="E12" s="11">
        <f>SUMIFS(Concentrado!F$2:F440,Concentrado!$A$2:$A440,"="&amp;$A12,Concentrado!$B$2:$B440, "=Chihuahua")</f>
        <v>125</v>
      </c>
      <c r="F12" s="11">
        <f>SUMIFS(Concentrado!G$2:G440,Concentrado!$A$2:$A440,"="&amp;$A12,Concentrado!$B$2:$B440, "=Chihuahua")</f>
        <v>94</v>
      </c>
    </row>
    <row r="13" spans="1:6" x14ac:dyDescent="0.25">
      <c r="A13" s="8">
        <v>2023</v>
      </c>
      <c r="B13" s="11">
        <f>SUMIFS(Concentrado!C$2:C441,Concentrado!$A$2:$A441,"="&amp;$A13,Concentrado!$B$2:$B441, "=Chihuahua")</f>
        <v>2302</v>
      </c>
      <c r="C13" s="11">
        <f>SUMIFS(Concentrado!D$2:D441,Concentrado!$A$2:$A441,"="&amp;$A13,Concentrado!$B$2:$B441, "=Chihuahua")</f>
        <v>3007</v>
      </c>
      <c r="D13" s="11">
        <f>SUMIFS(Concentrado!E$2:E441,Concentrado!$A$2:$A441,"="&amp;$A13,Concentrado!$B$2:$B441, "=Chihuahua")</f>
        <v>1587</v>
      </c>
      <c r="E13" s="11">
        <f>SUMIFS(Concentrado!F$2:F441,Concentrado!$A$2:$A441,"="&amp;$A13,Concentrado!$B$2:$B441, "=Chihuahua")</f>
        <v>124</v>
      </c>
      <c r="F13" s="11">
        <f>SUMIFS(Concentrado!G$2:G441,Concentrado!$A$2:$A441,"="&amp;$A13,Concentrado!$B$2:$B441, "=Chihuahua")</f>
        <v>74</v>
      </c>
    </row>
    <row r="14" spans="1:6" x14ac:dyDescent="0.25">
      <c r="A14" s="8">
        <v>2024</v>
      </c>
      <c r="B14" s="11">
        <f>SUMIFS(Concentrado!C$2:C442,Concentrado!$A$2:$A442,"="&amp;$A14,Concentrado!$B$2:$B442, "=Chihuahua")</f>
        <v>2343</v>
      </c>
      <c r="C14" s="11">
        <f>SUMIFS(Concentrado!D$2:D442,Concentrado!$A$2:$A442,"="&amp;$A14,Concentrado!$B$2:$B442, "=Chihuahua")</f>
        <v>3223</v>
      </c>
      <c r="D14" s="11">
        <f>SUMIFS(Concentrado!E$2:E442,Concentrado!$A$2:$A442,"="&amp;$A14,Concentrado!$B$2:$B442, "=Chihuahua")</f>
        <v>1612</v>
      </c>
      <c r="E14" s="11">
        <f>SUMIFS(Concentrado!F$2:F442,Concentrado!$A$2:$A442,"="&amp;$A14,Concentrado!$B$2:$B442, "=Chihuahua")</f>
        <v>144</v>
      </c>
      <c r="F14" s="11">
        <f>SUMIFS(Concentrado!G$2:G442,Concentrado!$A$2:$A442,"="&amp;$A14,Concentrado!$B$2:$B442, "=Chihuahua")</f>
        <v>70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zoomScale="112" zoomScaleNormal="112" workbookViewId="0">
      <selection activeCell="F14" sqref="F14"/>
    </sheetView>
  </sheetViews>
  <sheetFormatPr baseColWidth="10" defaultRowHeight="15" x14ac:dyDescent="0.25"/>
  <cols>
    <col min="1" max="1" width="12.140625" customWidth="1"/>
    <col min="2" max="2" width="13.28515625" bestFit="1" customWidth="1"/>
    <col min="3" max="3" width="12.42578125" bestFit="1" customWidth="1"/>
    <col min="4" max="4" width="19.140625" customWidth="1"/>
    <col min="5" max="5" width="12.28515625" bestFit="1" customWidth="1"/>
    <col min="6" max="6" width="12" bestFit="1" customWidth="1"/>
  </cols>
  <sheetData>
    <row r="1" spans="1:6" s="4" customFormat="1" ht="42.75" x14ac:dyDescent="0.2">
      <c r="A1" s="1" t="s">
        <v>0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</row>
    <row r="2" spans="1:6" x14ac:dyDescent="0.25">
      <c r="A2" s="8">
        <v>2012</v>
      </c>
      <c r="B2" s="11">
        <f>SUMIFS(Concentrado!C$2:C430,Concentrado!$A$2:$A430,"="&amp;$A2,Concentrado!$B$2:$B430, "=CDMX")</f>
        <v>8377</v>
      </c>
      <c r="C2" s="11">
        <f>SUMIFS(Concentrado!D$2:D430,Concentrado!$A$2:$A430,"="&amp;$A2,Concentrado!$B$2:$B430, "=CDMX")</f>
        <v>16107</v>
      </c>
      <c r="D2" s="11">
        <f>SUMIFS(Concentrado!E$2:E430,Concentrado!$A$2:$A430,"="&amp;$A2,Concentrado!$B$2:$B430, "=CDMX")</f>
        <v>6287</v>
      </c>
      <c r="E2" s="11">
        <f>SUMIFS(Concentrado!F$2:F430,Concentrado!$A$2:$A430,"="&amp;$A2,Concentrado!$B$2:$B430, "=CDMX")</f>
        <v>644</v>
      </c>
      <c r="F2" s="11">
        <f>SUMIFS(Concentrado!G$2:G430,Concentrado!$A$2:$A430,"="&amp;$A2,Concentrado!$B$2:$B430, "=CDMX")</f>
        <v>111</v>
      </c>
    </row>
    <row r="3" spans="1:6" x14ac:dyDescent="0.25">
      <c r="A3" s="8">
        <v>2013</v>
      </c>
      <c r="B3" s="11">
        <f>SUMIFS(Concentrado!C$2:C431,Concentrado!$A$2:$A431,"="&amp;$A3,Concentrado!$B$2:$B431, "=CDMX")</f>
        <v>8629</v>
      </c>
      <c r="C3" s="11">
        <f>SUMIFS(Concentrado!D$2:D431,Concentrado!$A$2:$A431,"="&amp;$A3,Concentrado!$B$2:$B431, "=CDMX")</f>
        <v>15787</v>
      </c>
      <c r="D3" s="11">
        <f>SUMIFS(Concentrado!E$2:E431,Concentrado!$A$2:$A431,"="&amp;$A3,Concentrado!$B$2:$B431, "=CDMX")</f>
        <v>6960</v>
      </c>
      <c r="E3" s="11">
        <f>SUMIFS(Concentrado!F$2:F431,Concentrado!$A$2:$A431,"="&amp;$A3,Concentrado!$B$2:$B431, "=CDMX")</f>
        <v>663</v>
      </c>
      <c r="F3" s="11">
        <f>SUMIFS(Concentrado!G$2:G431,Concentrado!$A$2:$A431,"="&amp;$A3,Concentrado!$B$2:$B431, "=CDMX")</f>
        <v>111</v>
      </c>
    </row>
    <row r="4" spans="1:6" x14ac:dyDescent="0.25">
      <c r="A4" s="8">
        <v>2014</v>
      </c>
      <c r="B4" s="11">
        <f>SUMIFS(Concentrado!C$2:C432,Concentrado!$A$2:$A432,"="&amp;$A4,Concentrado!$B$2:$B432, "=CDMX")</f>
        <v>8957</v>
      </c>
      <c r="C4" s="11">
        <f>SUMIFS(Concentrado!D$2:D432,Concentrado!$A$2:$A432,"="&amp;$A4,Concentrado!$B$2:$B432, "=CDMX")</f>
        <v>16259</v>
      </c>
      <c r="D4" s="11">
        <f>SUMIFS(Concentrado!E$2:E432,Concentrado!$A$2:$A432,"="&amp;$A4,Concentrado!$B$2:$B432, "=CDMX")</f>
        <v>6463</v>
      </c>
      <c r="E4" s="11">
        <f>SUMIFS(Concentrado!F$2:F432,Concentrado!$A$2:$A432,"="&amp;$A4,Concentrado!$B$2:$B432, "=CDMX")</f>
        <v>633</v>
      </c>
      <c r="F4" s="11">
        <f>SUMIFS(Concentrado!G$2:G432,Concentrado!$A$2:$A432,"="&amp;$A4,Concentrado!$B$2:$B432, "=CDMX")</f>
        <v>108</v>
      </c>
    </row>
    <row r="5" spans="1:6" x14ac:dyDescent="0.25">
      <c r="A5" s="8">
        <v>2015</v>
      </c>
      <c r="B5" s="11">
        <f>SUMIFS(Concentrado!C$2:C433,Concentrado!$A$2:$A433,"="&amp;$A5,Concentrado!$B$2:$B433, "=CDMX")</f>
        <v>9173</v>
      </c>
      <c r="C5" s="11">
        <f>SUMIFS(Concentrado!D$2:D433,Concentrado!$A$2:$A433,"="&amp;$A5,Concentrado!$B$2:$B433, "=CDMX")</f>
        <v>15798</v>
      </c>
      <c r="D5" s="11">
        <f>SUMIFS(Concentrado!E$2:E433,Concentrado!$A$2:$A433,"="&amp;$A5,Concentrado!$B$2:$B433, "=CDMX")</f>
        <v>5795</v>
      </c>
      <c r="E5" s="11">
        <f>SUMIFS(Concentrado!F$2:F433,Concentrado!$A$2:$A433,"="&amp;$A5,Concentrado!$B$2:$B433, "=CDMX")</f>
        <v>642</v>
      </c>
      <c r="F5" s="11">
        <f>SUMIFS(Concentrado!G$2:G433,Concentrado!$A$2:$A433,"="&amp;$A5,Concentrado!$B$2:$B433, "=CDMX")</f>
        <v>109</v>
      </c>
    </row>
    <row r="6" spans="1:6" x14ac:dyDescent="0.25">
      <c r="A6" s="8">
        <v>2016</v>
      </c>
      <c r="B6" s="11">
        <f>SUMIFS(Concentrado!C$2:C434,Concentrado!$A$2:$A434,"="&amp;$A6,Concentrado!$B$2:$B434, "=CDMX")</f>
        <v>9194</v>
      </c>
      <c r="C6" s="11">
        <f>SUMIFS(Concentrado!D$2:D434,Concentrado!$A$2:$A434,"="&amp;$A6,Concentrado!$B$2:$B434, "=CDMX")</f>
        <v>15627</v>
      </c>
      <c r="D6" s="11">
        <f>SUMIFS(Concentrado!E$2:E434,Concentrado!$A$2:$A434,"="&amp;$A6,Concentrado!$B$2:$B434, "=CDMX")</f>
        <v>5364</v>
      </c>
      <c r="E6" s="11">
        <f>SUMIFS(Concentrado!F$2:F434,Concentrado!$A$2:$A434,"="&amp;$A6,Concentrado!$B$2:$B434, "=CDMX")</f>
        <v>652</v>
      </c>
      <c r="F6" s="11">
        <f>SUMIFS(Concentrado!G$2:G434,Concentrado!$A$2:$A434,"="&amp;$A6,Concentrado!$B$2:$B434, "=CDMX")</f>
        <v>109</v>
      </c>
    </row>
    <row r="7" spans="1:6" x14ac:dyDescent="0.25">
      <c r="A7" s="8">
        <v>2017</v>
      </c>
      <c r="B7" s="11">
        <f>SUMIFS(Concentrado!C$2:C435,Concentrado!$A$2:$A435,"="&amp;$A7,Concentrado!$B$2:$B435, "=CDMX")</f>
        <v>9031</v>
      </c>
      <c r="C7" s="11">
        <f>SUMIFS(Concentrado!D$2:D435,Concentrado!$A$2:$A435,"="&amp;$A7,Concentrado!$B$2:$B435, "=CDMX")</f>
        <v>15457</v>
      </c>
      <c r="D7" s="11">
        <f>SUMIFS(Concentrado!E$2:E435,Concentrado!$A$2:$A435,"="&amp;$A7,Concentrado!$B$2:$B435, "=CDMX")</f>
        <v>5304</v>
      </c>
      <c r="E7" s="11">
        <f>SUMIFS(Concentrado!F$2:F435,Concentrado!$A$2:$A435,"="&amp;$A7,Concentrado!$B$2:$B435, "=CDMX")</f>
        <v>648</v>
      </c>
      <c r="F7" s="11">
        <f>SUMIFS(Concentrado!G$2:G435,Concentrado!$A$2:$A435,"="&amp;$A7,Concentrado!$B$2:$B435, "=CDMX")</f>
        <v>102</v>
      </c>
    </row>
    <row r="8" spans="1:6" x14ac:dyDescent="0.25">
      <c r="A8" s="8">
        <v>2018</v>
      </c>
      <c r="B8" s="11">
        <f>SUMIFS(Concentrado!C$2:C436,Concentrado!$A$2:$A436,"="&amp;$A8,Concentrado!$B$2:$B436, "=CDMX")</f>
        <v>9222</v>
      </c>
      <c r="C8" s="11">
        <f>SUMIFS(Concentrado!D$2:D436,Concentrado!$A$2:$A436,"="&amp;$A8,Concentrado!$B$2:$B436, "=CDMX")</f>
        <v>15632</v>
      </c>
      <c r="D8" s="11">
        <f>SUMIFS(Concentrado!E$2:E436,Concentrado!$A$2:$A436,"="&amp;$A8,Concentrado!$B$2:$B436, "=CDMX")</f>
        <v>5125</v>
      </c>
      <c r="E8" s="11">
        <f>SUMIFS(Concentrado!F$2:F436,Concentrado!$A$2:$A436,"="&amp;$A8,Concentrado!$B$2:$B436, "=CDMX")</f>
        <v>650</v>
      </c>
      <c r="F8" s="11">
        <f>SUMIFS(Concentrado!G$2:G436,Concentrado!$A$2:$A436,"="&amp;$A8,Concentrado!$B$2:$B436, "=CDMX")</f>
        <v>102</v>
      </c>
    </row>
    <row r="9" spans="1:6" x14ac:dyDescent="0.25">
      <c r="A9" s="8">
        <v>2019</v>
      </c>
      <c r="B9" s="11">
        <f>SUMIFS(Concentrado!C$2:C437,Concentrado!$A$2:$A437,"="&amp;$A9,Concentrado!$B$2:$B437, "=CDMX")</f>
        <v>9092</v>
      </c>
      <c r="C9" s="11">
        <f>SUMIFS(Concentrado!D$2:D437,Concentrado!$A$2:$A437,"="&amp;$A9,Concentrado!$B$2:$B437, "=CDMX")</f>
        <v>15542</v>
      </c>
      <c r="D9" s="11">
        <f>SUMIFS(Concentrado!E$2:E437,Concentrado!$A$2:$A437,"="&amp;$A9,Concentrado!$B$2:$B437, "=CDMX")</f>
        <v>5241</v>
      </c>
      <c r="E9" s="11">
        <f>SUMIFS(Concentrado!F$2:F437,Concentrado!$A$2:$A437,"="&amp;$A9,Concentrado!$B$2:$B437, "=CDMX")</f>
        <v>647</v>
      </c>
      <c r="F9" s="11">
        <f>SUMIFS(Concentrado!G$2:G437,Concentrado!$A$2:$A437,"="&amp;$A9,Concentrado!$B$2:$B437, "=CDMX")</f>
        <v>100</v>
      </c>
    </row>
    <row r="10" spans="1:6" x14ac:dyDescent="0.25">
      <c r="A10" s="8">
        <v>2020</v>
      </c>
      <c r="B10" s="11">
        <f>SUMIFS(Concentrado!C$2:C438,Concentrado!$A$2:$A438,"="&amp;$A10,Concentrado!$B$2:$B438, "=CDMX")</f>
        <v>9344</v>
      </c>
      <c r="C10" s="11">
        <f>SUMIFS(Concentrado!D$2:D438,Concentrado!$A$2:$A438,"="&amp;$A10,Concentrado!$B$2:$B438, "=CDMX")</f>
        <v>16643</v>
      </c>
      <c r="D10" s="11">
        <f>SUMIFS(Concentrado!E$2:E438,Concentrado!$A$2:$A438,"="&amp;$A10,Concentrado!$B$2:$B438, "=CDMX")</f>
        <v>5286</v>
      </c>
      <c r="E10" s="11">
        <f>SUMIFS(Concentrado!F$2:F438,Concentrado!$A$2:$A438,"="&amp;$A10,Concentrado!$B$2:$B438, "=CDMX")</f>
        <v>636</v>
      </c>
      <c r="F10" s="11">
        <f>SUMIFS(Concentrado!G$2:G438,Concentrado!$A$2:$A438,"="&amp;$A10,Concentrado!$B$2:$B438, "=CDMX")</f>
        <v>100</v>
      </c>
    </row>
    <row r="11" spans="1:6" x14ac:dyDescent="0.25">
      <c r="A11" s="8">
        <v>2021</v>
      </c>
      <c r="B11" s="11">
        <f>SUMIFS(Concentrado!C$2:C439,Concentrado!$A$2:$A439,"="&amp;$A11,Concentrado!$B$2:$B439, "=CDMX")</f>
        <v>9209</v>
      </c>
      <c r="C11" s="11">
        <f>SUMIFS(Concentrado!D$2:D439,Concentrado!$A$2:$A439,"="&amp;$A11,Concentrado!$B$2:$B439, "=CDMX")</f>
        <v>15731</v>
      </c>
      <c r="D11" s="11">
        <f>SUMIFS(Concentrado!E$2:E439,Concentrado!$A$2:$A439,"="&amp;$A11,Concentrado!$B$2:$B439, "=CDMX")</f>
        <v>5411</v>
      </c>
      <c r="E11" s="11">
        <f>SUMIFS(Concentrado!F$2:F439,Concentrado!$A$2:$A439,"="&amp;$A11,Concentrado!$B$2:$B439, "=CDMX")</f>
        <v>703</v>
      </c>
      <c r="F11" s="11">
        <f>SUMIFS(Concentrado!G$2:G439,Concentrado!$A$2:$A439,"="&amp;$A11,Concentrado!$B$2:$B439, "=CDMX")</f>
        <v>101</v>
      </c>
    </row>
    <row r="12" spans="1:6" x14ac:dyDescent="0.25">
      <c r="A12" s="8">
        <v>2022</v>
      </c>
      <c r="B12" s="11">
        <f>SUMIFS(Concentrado!C$2:C440,Concentrado!$A$2:$A440,"="&amp;$A12,Concentrado!$B$2:$B440, "=CDMX")</f>
        <v>9591</v>
      </c>
      <c r="C12" s="11">
        <f>SUMIFS(Concentrado!D$2:D440,Concentrado!$A$2:$A440,"="&amp;$A12,Concentrado!$B$2:$B440, "=CDMX")</f>
        <v>16103</v>
      </c>
      <c r="D12" s="11">
        <f>SUMIFS(Concentrado!E$2:E440,Concentrado!$A$2:$A440,"="&amp;$A12,Concentrado!$B$2:$B440, "=CDMX")</f>
        <v>5780</v>
      </c>
      <c r="E12" s="11">
        <f>SUMIFS(Concentrado!F$2:F440,Concentrado!$A$2:$A440,"="&amp;$A12,Concentrado!$B$2:$B440, "=CDMX")</f>
        <v>708</v>
      </c>
      <c r="F12" s="11">
        <f>SUMIFS(Concentrado!G$2:G440,Concentrado!$A$2:$A440,"="&amp;$A12,Concentrado!$B$2:$B440, "=CDMX")</f>
        <v>98</v>
      </c>
    </row>
    <row r="13" spans="1:6" x14ac:dyDescent="0.25">
      <c r="A13" s="8">
        <v>2023</v>
      </c>
      <c r="B13" s="11">
        <f>SUMIFS(Concentrado!C$2:C441,Concentrado!$A$2:$A441,"="&amp;$A13,Concentrado!$B$2:$B441, "=CDMX")</f>
        <v>9971</v>
      </c>
      <c r="C13" s="11">
        <f>SUMIFS(Concentrado!D$2:D441,Concentrado!$A$2:$A441,"="&amp;$A13,Concentrado!$B$2:$B441, "=CDMX")</f>
        <v>15490</v>
      </c>
      <c r="D13" s="11">
        <f>SUMIFS(Concentrado!E$2:E441,Concentrado!$A$2:$A441,"="&amp;$A13,Concentrado!$B$2:$B441, "=CDMX")</f>
        <v>5750</v>
      </c>
      <c r="E13" s="11">
        <f>SUMIFS(Concentrado!F$2:F441,Concentrado!$A$2:$A441,"="&amp;$A13,Concentrado!$B$2:$B441, "=CDMX")</f>
        <v>707</v>
      </c>
      <c r="F13" s="11">
        <f>SUMIFS(Concentrado!G$2:G441,Concentrado!$A$2:$A441,"="&amp;$A13,Concentrado!$B$2:$B441, "=CDMX")</f>
        <v>95</v>
      </c>
    </row>
    <row r="14" spans="1:6" x14ac:dyDescent="0.25">
      <c r="A14" s="8">
        <v>2024</v>
      </c>
      <c r="B14" s="11">
        <f>SUMIFS(Concentrado!C$2:C442,Concentrado!$A$2:$A442,"="&amp;$A14,Concentrado!$B$2:$B442, "=CDMX")</f>
        <v>9844</v>
      </c>
      <c r="C14" s="11">
        <f>SUMIFS(Concentrado!D$2:D442,Concentrado!$A$2:$A442,"="&amp;$A14,Concentrado!$B$2:$B442, "=CDMX")</f>
        <v>15698</v>
      </c>
      <c r="D14" s="11">
        <f>SUMIFS(Concentrado!E$2:E442,Concentrado!$A$2:$A442,"="&amp;$A14,Concentrado!$B$2:$B442, "=CDMX")</f>
        <v>6055</v>
      </c>
      <c r="E14" s="11">
        <f>SUMIFS(Concentrado!F$2:F442,Concentrado!$A$2:$A442,"="&amp;$A14,Concentrado!$B$2:$B442, "=CDMX")</f>
        <v>696</v>
      </c>
      <c r="F14" s="11">
        <f>SUMIFS(Concentrado!G$2:G442,Concentrado!$A$2:$A442,"="&amp;$A14,Concentrado!$B$2:$B442, "=CDMX")</f>
        <v>115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zoomScale="112" zoomScaleNormal="112" workbookViewId="0">
      <selection activeCell="F14" sqref="F14"/>
    </sheetView>
  </sheetViews>
  <sheetFormatPr baseColWidth="10" defaultRowHeight="15" x14ac:dyDescent="0.25"/>
  <cols>
    <col min="1" max="1" width="12.140625" customWidth="1"/>
    <col min="2" max="2" width="13.28515625" bestFit="1" customWidth="1"/>
    <col min="3" max="3" width="12.42578125" bestFit="1" customWidth="1"/>
    <col min="4" max="4" width="19.140625" customWidth="1"/>
    <col min="5" max="5" width="12.28515625" bestFit="1" customWidth="1"/>
    <col min="6" max="6" width="12" bestFit="1" customWidth="1"/>
  </cols>
  <sheetData>
    <row r="1" spans="1:6" s="4" customFormat="1" ht="42.75" x14ac:dyDescent="0.2">
      <c r="A1" s="1" t="s">
        <v>0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</row>
    <row r="2" spans="1:6" x14ac:dyDescent="0.25">
      <c r="A2" s="8">
        <v>2012</v>
      </c>
      <c r="B2" s="11">
        <f>SUMIFS(Concentrado!C$2:C430,Concentrado!$A$2:$A430,"="&amp;$A2,Concentrado!$B$2:$B430, "=Coahuila")</f>
        <v>1762</v>
      </c>
      <c r="C2" s="11">
        <f>SUMIFS(Concentrado!D$2:D430,Concentrado!$A$2:$A430,"="&amp;$A2,Concentrado!$B$2:$B430, "=Coahuila")</f>
        <v>2658</v>
      </c>
      <c r="D2" s="11">
        <f>SUMIFS(Concentrado!E$2:E430,Concentrado!$A$2:$A430,"="&amp;$A2,Concentrado!$B$2:$B430, "=Coahuila")</f>
        <v>1374</v>
      </c>
      <c r="E2" s="11">
        <f>SUMIFS(Concentrado!F$2:F430,Concentrado!$A$2:$A430,"="&amp;$A2,Concentrado!$B$2:$B430, "=Coahuila")</f>
        <v>106</v>
      </c>
      <c r="F2" s="11">
        <f>SUMIFS(Concentrado!G$2:G430,Concentrado!$A$2:$A430,"="&amp;$A2,Concentrado!$B$2:$B430, "=Coahuila")</f>
        <v>52</v>
      </c>
    </row>
    <row r="3" spans="1:6" x14ac:dyDescent="0.25">
      <c r="A3" s="8">
        <v>2013</v>
      </c>
      <c r="B3" s="11">
        <f>SUMIFS(Concentrado!C$2:C431,Concentrado!$A$2:$A431,"="&amp;$A3,Concentrado!$B$2:$B431, "=Coahuila")</f>
        <v>1929</v>
      </c>
      <c r="C3" s="11">
        <f>SUMIFS(Concentrado!D$2:D431,Concentrado!$A$2:$A431,"="&amp;$A3,Concentrado!$B$2:$B431, "=Coahuila")</f>
        <v>2708</v>
      </c>
      <c r="D3" s="11">
        <f>SUMIFS(Concentrado!E$2:E431,Concentrado!$A$2:$A431,"="&amp;$A3,Concentrado!$B$2:$B431, "=Coahuila")</f>
        <v>1584</v>
      </c>
      <c r="E3" s="11">
        <f>SUMIFS(Concentrado!F$2:F431,Concentrado!$A$2:$A431,"="&amp;$A3,Concentrado!$B$2:$B431, "=Coahuila")</f>
        <v>130</v>
      </c>
      <c r="F3" s="11">
        <f>SUMIFS(Concentrado!G$2:G431,Concentrado!$A$2:$A431,"="&amp;$A3,Concentrado!$B$2:$B431, "=Coahuila")</f>
        <v>56</v>
      </c>
    </row>
    <row r="4" spans="1:6" x14ac:dyDescent="0.25">
      <c r="A4" s="8">
        <v>2014</v>
      </c>
      <c r="B4" s="11">
        <f>SUMIFS(Concentrado!C$2:C432,Concentrado!$A$2:$A432,"="&amp;$A4,Concentrado!$B$2:$B432, "=Coahuila")</f>
        <v>1974</v>
      </c>
      <c r="C4" s="11">
        <f>SUMIFS(Concentrado!D$2:D432,Concentrado!$A$2:$A432,"="&amp;$A4,Concentrado!$B$2:$B432, "=Coahuila")</f>
        <v>2686</v>
      </c>
      <c r="D4" s="11">
        <f>SUMIFS(Concentrado!E$2:E432,Concentrado!$A$2:$A432,"="&amp;$A4,Concentrado!$B$2:$B432, "=Coahuila")</f>
        <v>1570</v>
      </c>
      <c r="E4" s="11">
        <f>SUMIFS(Concentrado!F$2:F432,Concentrado!$A$2:$A432,"="&amp;$A4,Concentrado!$B$2:$B432, "=Coahuila")</f>
        <v>132</v>
      </c>
      <c r="F4" s="11">
        <f>SUMIFS(Concentrado!G$2:G432,Concentrado!$A$2:$A432,"="&amp;$A4,Concentrado!$B$2:$B432, "=Coahuila")</f>
        <v>55</v>
      </c>
    </row>
    <row r="5" spans="1:6" x14ac:dyDescent="0.25">
      <c r="A5" s="8">
        <v>2015</v>
      </c>
      <c r="B5" s="11">
        <f>SUMIFS(Concentrado!C$2:C433,Concentrado!$A$2:$A433,"="&amp;$A5,Concentrado!$B$2:$B433, "=Coahuila")</f>
        <v>1945</v>
      </c>
      <c r="C5" s="11">
        <f>SUMIFS(Concentrado!D$2:D433,Concentrado!$A$2:$A433,"="&amp;$A5,Concentrado!$B$2:$B433, "=Coahuila")</f>
        <v>2665</v>
      </c>
      <c r="D5" s="11">
        <f>SUMIFS(Concentrado!E$2:E433,Concentrado!$A$2:$A433,"="&amp;$A5,Concentrado!$B$2:$B433, "=Coahuila")</f>
        <v>1253</v>
      </c>
      <c r="E5" s="11">
        <f>SUMIFS(Concentrado!F$2:F433,Concentrado!$A$2:$A433,"="&amp;$A5,Concentrado!$B$2:$B433, "=Coahuila")</f>
        <v>143</v>
      </c>
      <c r="F5" s="11">
        <f>SUMIFS(Concentrado!G$2:G433,Concentrado!$A$2:$A433,"="&amp;$A5,Concentrado!$B$2:$B433, "=Coahuila")</f>
        <v>54</v>
      </c>
    </row>
    <row r="6" spans="1:6" x14ac:dyDescent="0.25">
      <c r="A6" s="8">
        <v>2016</v>
      </c>
      <c r="B6" s="11">
        <f>SUMIFS(Concentrado!C$2:C434,Concentrado!$A$2:$A434,"="&amp;$A6,Concentrado!$B$2:$B434, "=Coahuila")</f>
        <v>1915</v>
      </c>
      <c r="C6" s="11">
        <f>SUMIFS(Concentrado!D$2:D434,Concentrado!$A$2:$A434,"="&amp;$A6,Concentrado!$B$2:$B434, "=Coahuila")</f>
        <v>2777</v>
      </c>
      <c r="D6" s="11">
        <f>SUMIFS(Concentrado!E$2:E434,Concentrado!$A$2:$A434,"="&amp;$A6,Concentrado!$B$2:$B434, "=Coahuila")</f>
        <v>1255</v>
      </c>
      <c r="E6" s="11">
        <f>SUMIFS(Concentrado!F$2:F434,Concentrado!$A$2:$A434,"="&amp;$A6,Concentrado!$B$2:$B434, "=Coahuila")</f>
        <v>142</v>
      </c>
      <c r="F6" s="11">
        <f>SUMIFS(Concentrado!G$2:G434,Concentrado!$A$2:$A434,"="&amp;$A6,Concentrado!$B$2:$B434, "=Coahuila")</f>
        <v>45</v>
      </c>
    </row>
    <row r="7" spans="1:6" x14ac:dyDescent="0.25">
      <c r="A7" s="8">
        <v>2017</v>
      </c>
      <c r="B7" s="11">
        <f>SUMIFS(Concentrado!C$2:C435,Concentrado!$A$2:$A435,"="&amp;$A7,Concentrado!$B$2:$B435, "=Coahuila")</f>
        <v>1902</v>
      </c>
      <c r="C7" s="11">
        <f>SUMIFS(Concentrado!D$2:D435,Concentrado!$A$2:$A435,"="&amp;$A7,Concentrado!$B$2:$B435, "=Coahuila")</f>
        <v>2879</v>
      </c>
      <c r="D7" s="11">
        <f>SUMIFS(Concentrado!E$2:E435,Concentrado!$A$2:$A435,"="&amp;$A7,Concentrado!$B$2:$B435, "=Coahuila")</f>
        <v>1255</v>
      </c>
      <c r="E7" s="11">
        <f>SUMIFS(Concentrado!F$2:F435,Concentrado!$A$2:$A435,"="&amp;$A7,Concentrado!$B$2:$B435, "=Coahuila")</f>
        <v>146</v>
      </c>
      <c r="F7" s="11">
        <f>SUMIFS(Concentrado!G$2:G435,Concentrado!$A$2:$A435,"="&amp;$A7,Concentrado!$B$2:$B435, "=Coahuila")</f>
        <v>46</v>
      </c>
    </row>
    <row r="8" spans="1:6" x14ac:dyDescent="0.25">
      <c r="A8" s="8">
        <v>2018</v>
      </c>
      <c r="B8" s="11">
        <f>SUMIFS(Concentrado!C$2:C436,Concentrado!$A$2:$A436,"="&amp;$A8,Concentrado!$B$2:$B436, "=Coahuila")</f>
        <v>1914</v>
      </c>
      <c r="C8" s="11">
        <f>SUMIFS(Concentrado!D$2:D436,Concentrado!$A$2:$A436,"="&amp;$A8,Concentrado!$B$2:$B436, "=Coahuila")</f>
        <v>2915</v>
      </c>
      <c r="D8" s="11">
        <f>SUMIFS(Concentrado!E$2:E436,Concentrado!$A$2:$A436,"="&amp;$A8,Concentrado!$B$2:$B436, "=Coahuila")</f>
        <v>1215</v>
      </c>
      <c r="E8" s="11">
        <f>SUMIFS(Concentrado!F$2:F436,Concentrado!$A$2:$A436,"="&amp;$A8,Concentrado!$B$2:$B436, "=Coahuila")</f>
        <v>148</v>
      </c>
      <c r="F8" s="11">
        <f>SUMIFS(Concentrado!G$2:G436,Concentrado!$A$2:$A436,"="&amp;$A8,Concentrado!$B$2:$B436, "=Coahuila")</f>
        <v>53</v>
      </c>
    </row>
    <row r="9" spans="1:6" x14ac:dyDescent="0.25">
      <c r="A9" s="8">
        <v>2019</v>
      </c>
      <c r="B9" s="11">
        <f>SUMIFS(Concentrado!C$2:C437,Concentrado!$A$2:$A437,"="&amp;$A9,Concentrado!$B$2:$B437, "=Coahuila")</f>
        <v>1835</v>
      </c>
      <c r="C9" s="11">
        <f>SUMIFS(Concentrado!D$2:D437,Concentrado!$A$2:$A437,"="&amp;$A9,Concentrado!$B$2:$B437, "=Coahuila")</f>
        <v>2900</v>
      </c>
      <c r="D9" s="11">
        <f>SUMIFS(Concentrado!E$2:E437,Concentrado!$A$2:$A437,"="&amp;$A9,Concentrado!$B$2:$B437, "=Coahuila")</f>
        <v>1179</v>
      </c>
      <c r="E9" s="11">
        <f>SUMIFS(Concentrado!F$2:F437,Concentrado!$A$2:$A437,"="&amp;$A9,Concentrado!$B$2:$B437, "=Coahuila")</f>
        <v>135</v>
      </c>
      <c r="F9" s="11">
        <f>SUMIFS(Concentrado!G$2:G437,Concentrado!$A$2:$A437,"="&amp;$A9,Concentrado!$B$2:$B437, "=Coahuila")</f>
        <v>55</v>
      </c>
    </row>
    <row r="10" spans="1:6" x14ac:dyDescent="0.25">
      <c r="A10" s="8">
        <v>2020</v>
      </c>
      <c r="B10" s="11">
        <f>SUMIFS(Concentrado!C$2:C438,Concentrado!$A$2:$A438,"="&amp;$A10,Concentrado!$B$2:$B438, "=Coahuila")</f>
        <v>1869</v>
      </c>
      <c r="C10" s="11">
        <f>SUMIFS(Concentrado!D$2:D438,Concentrado!$A$2:$A438,"="&amp;$A10,Concentrado!$B$2:$B438, "=Coahuila")</f>
        <v>2937</v>
      </c>
      <c r="D10" s="11">
        <f>SUMIFS(Concentrado!E$2:E438,Concentrado!$A$2:$A438,"="&amp;$A10,Concentrado!$B$2:$B438, "=Coahuila")</f>
        <v>1202</v>
      </c>
      <c r="E10" s="11">
        <f>SUMIFS(Concentrado!F$2:F438,Concentrado!$A$2:$A438,"="&amp;$A10,Concentrado!$B$2:$B438, "=Coahuila")</f>
        <v>138</v>
      </c>
      <c r="F10" s="11">
        <f>SUMIFS(Concentrado!G$2:G438,Concentrado!$A$2:$A438,"="&amp;$A10,Concentrado!$B$2:$B438, "=Coahuila")</f>
        <v>54</v>
      </c>
    </row>
    <row r="11" spans="1:6" x14ac:dyDescent="0.25">
      <c r="A11" s="8">
        <v>2021</v>
      </c>
      <c r="B11" s="11">
        <f>SUMIFS(Concentrado!C$2:C439,Concentrado!$A$2:$A439,"="&amp;$A11,Concentrado!$B$2:$B439, "=Coahuila")</f>
        <v>1941</v>
      </c>
      <c r="C11" s="11">
        <f>SUMIFS(Concentrado!D$2:D439,Concentrado!$A$2:$A439,"="&amp;$A11,Concentrado!$B$2:$B439, "=Coahuila")</f>
        <v>2954</v>
      </c>
      <c r="D11" s="11">
        <f>SUMIFS(Concentrado!E$2:E439,Concentrado!$A$2:$A439,"="&amp;$A11,Concentrado!$B$2:$B439, "=Coahuila")</f>
        <v>1179</v>
      </c>
      <c r="E11" s="11">
        <f>SUMIFS(Concentrado!F$2:F439,Concentrado!$A$2:$A439,"="&amp;$A11,Concentrado!$B$2:$B439, "=Coahuila")</f>
        <v>135</v>
      </c>
      <c r="F11" s="11">
        <f>SUMIFS(Concentrado!G$2:G439,Concentrado!$A$2:$A439,"="&amp;$A11,Concentrado!$B$2:$B439, "=Coahuila")</f>
        <v>53</v>
      </c>
    </row>
    <row r="12" spans="1:6" x14ac:dyDescent="0.25">
      <c r="A12" s="8">
        <v>2022</v>
      </c>
      <c r="B12" s="11">
        <f>SUMIFS(Concentrado!C$2:C440,Concentrado!$A$2:$A440,"="&amp;$A12,Concentrado!$B$2:$B440, "=Coahuila")</f>
        <v>2130</v>
      </c>
      <c r="C12" s="11">
        <f>SUMIFS(Concentrado!D$2:D440,Concentrado!$A$2:$A440,"="&amp;$A12,Concentrado!$B$2:$B440, "=Coahuila")</f>
        <v>3074</v>
      </c>
      <c r="D12" s="11">
        <f>SUMIFS(Concentrado!E$2:E440,Concentrado!$A$2:$A440,"="&amp;$A12,Concentrado!$B$2:$B440, "=Coahuila")</f>
        <v>1124</v>
      </c>
      <c r="E12" s="11">
        <f>SUMIFS(Concentrado!F$2:F440,Concentrado!$A$2:$A440,"="&amp;$A12,Concentrado!$B$2:$B440, "=Coahuila")</f>
        <v>152</v>
      </c>
      <c r="F12" s="11">
        <f>SUMIFS(Concentrado!G$2:G440,Concentrado!$A$2:$A440,"="&amp;$A12,Concentrado!$B$2:$B440, "=Coahuila")</f>
        <v>53</v>
      </c>
    </row>
    <row r="13" spans="1:6" x14ac:dyDescent="0.25">
      <c r="A13" s="8">
        <v>2023</v>
      </c>
      <c r="B13" s="11">
        <f>SUMIFS(Concentrado!C$2:C441,Concentrado!$A$2:$A441,"="&amp;$A13,Concentrado!$B$2:$B441, "=Coahuila")</f>
        <v>2119</v>
      </c>
      <c r="C13" s="11">
        <f>SUMIFS(Concentrado!D$2:D441,Concentrado!$A$2:$A441,"="&amp;$A13,Concentrado!$B$2:$B441, "=Coahuila")</f>
        <v>3103</v>
      </c>
      <c r="D13" s="11">
        <f>SUMIFS(Concentrado!E$2:E441,Concentrado!$A$2:$A441,"="&amp;$A13,Concentrado!$B$2:$B441, "=Coahuila")</f>
        <v>1172</v>
      </c>
      <c r="E13" s="11">
        <f>SUMIFS(Concentrado!F$2:F441,Concentrado!$A$2:$A441,"="&amp;$A13,Concentrado!$B$2:$B441, "=Coahuila")</f>
        <v>155</v>
      </c>
      <c r="F13" s="11">
        <f>SUMIFS(Concentrado!G$2:G441,Concentrado!$A$2:$A441,"="&amp;$A13,Concentrado!$B$2:$B441, "=Coahuila")</f>
        <v>53</v>
      </c>
    </row>
    <row r="14" spans="1:6" x14ac:dyDescent="0.25">
      <c r="A14" s="8">
        <v>2024</v>
      </c>
      <c r="B14" s="11">
        <f>SUMIFS(Concentrado!C$2:C442,Concentrado!$A$2:$A442,"="&amp;$A14,Concentrado!$B$2:$B442, "=Coahuila")</f>
        <v>2120</v>
      </c>
      <c r="C14" s="11">
        <f>SUMIFS(Concentrado!D$2:D442,Concentrado!$A$2:$A442,"="&amp;$A14,Concentrado!$B$2:$B442, "=Coahuila")</f>
        <v>3075</v>
      </c>
      <c r="D14" s="11">
        <f>SUMIFS(Concentrado!E$2:E442,Concentrado!$A$2:$A442,"="&amp;$A14,Concentrado!$B$2:$B442, "=Coahuila")</f>
        <v>1252</v>
      </c>
      <c r="E14" s="11">
        <f>SUMIFS(Concentrado!F$2:F442,Concentrado!$A$2:$A442,"="&amp;$A14,Concentrado!$B$2:$B442, "=Coahuila")</f>
        <v>154</v>
      </c>
      <c r="F14" s="11">
        <f>SUMIFS(Concentrado!G$2:G442,Concentrado!$A$2:$A442,"="&amp;$A14,Concentrado!$B$2:$B442, "=Coahuila")</f>
        <v>55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zoomScale="112" zoomScaleNormal="112" workbookViewId="0">
      <selection activeCell="F14" sqref="F14"/>
    </sheetView>
  </sheetViews>
  <sheetFormatPr baseColWidth="10" defaultRowHeight="15" x14ac:dyDescent="0.25"/>
  <cols>
    <col min="1" max="1" width="12.140625" customWidth="1"/>
    <col min="2" max="2" width="13.28515625" bestFit="1" customWidth="1"/>
    <col min="3" max="3" width="12.42578125" bestFit="1" customWidth="1"/>
    <col min="4" max="4" width="19.140625" customWidth="1"/>
    <col min="5" max="5" width="12.28515625" bestFit="1" customWidth="1"/>
    <col min="6" max="6" width="12" bestFit="1" customWidth="1"/>
  </cols>
  <sheetData>
    <row r="1" spans="1:6" s="4" customFormat="1" ht="42.75" x14ac:dyDescent="0.2">
      <c r="A1" s="1" t="s">
        <v>0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</row>
    <row r="2" spans="1:6" x14ac:dyDescent="0.25">
      <c r="A2" s="8">
        <v>2012</v>
      </c>
      <c r="B2" s="11">
        <f>SUMIFS(Concentrado!C$2:C430,Concentrado!$A$2:$A430,"="&amp;$A2,Concentrado!$B$2:$B430, "=Colima")</f>
        <v>552</v>
      </c>
      <c r="C2" s="11">
        <f>SUMIFS(Concentrado!D$2:D430,Concentrado!$A$2:$A430,"="&amp;$A2,Concentrado!$B$2:$B430, "=Colima")</f>
        <v>583</v>
      </c>
      <c r="D2" s="11">
        <f>SUMIFS(Concentrado!E$2:E430,Concentrado!$A$2:$A430,"="&amp;$A2,Concentrado!$B$2:$B430, "=Colima")</f>
        <v>539</v>
      </c>
      <c r="E2" s="11">
        <f>SUMIFS(Concentrado!F$2:F430,Concentrado!$A$2:$A430,"="&amp;$A2,Concentrado!$B$2:$B430, "=Colima")</f>
        <v>30</v>
      </c>
      <c r="F2" s="11">
        <f>SUMIFS(Concentrado!G$2:G430,Concentrado!$A$2:$A430,"="&amp;$A2,Concentrado!$B$2:$B430, "=Colima")</f>
        <v>11</v>
      </c>
    </row>
    <row r="3" spans="1:6" x14ac:dyDescent="0.25">
      <c r="A3" s="8">
        <v>2013</v>
      </c>
      <c r="B3" s="11">
        <f>SUMIFS(Concentrado!C$2:C431,Concentrado!$A$2:$A431,"="&amp;$A3,Concentrado!$B$2:$B431, "=Colima")</f>
        <v>629</v>
      </c>
      <c r="C3" s="11">
        <f>SUMIFS(Concentrado!D$2:D431,Concentrado!$A$2:$A431,"="&amp;$A3,Concentrado!$B$2:$B431, "=Colima")</f>
        <v>554</v>
      </c>
      <c r="D3" s="11">
        <f>SUMIFS(Concentrado!E$2:E431,Concentrado!$A$2:$A431,"="&amp;$A3,Concentrado!$B$2:$B431, "=Colima")</f>
        <v>411</v>
      </c>
      <c r="E3" s="11">
        <f>SUMIFS(Concentrado!F$2:F431,Concentrado!$A$2:$A431,"="&amp;$A3,Concentrado!$B$2:$B431, "=Colima")</f>
        <v>36</v>
      </c>
      <c r="F3" s="11">
        <f>SUMIFS(Concentrado!G$2:G431,Concentrado!$A$2:$A431,"="&amp;$A3,Concentrado!$B$2:$B431, "=Colima")</f>
        <v>12</v>
      </c>
    </row>
    <row r="4" spans="1:6" x14ac:dyDescent="0.25">
      <c r="A4" s="8">
        <v>2014</v>
      </c>
      <c r="B4" s="11">
        <f>SUMIFS(Concentrado!C$2:C432,Concentrado!$A$2:$A432,"="&amp;$A4,Concentrado!$B$2:$B432, "=Colima")</f>
        <v>647</v>
      </c>
      <c r="C4" s="11">
        <f>SUMIFS(Concentrado!D$2:D432,Concentrado!$A$2:$A432,"="&amp;$A4,Concentrado!$B$2:$B432, "=Colima")</f>
        <v>563</v>
      </c>
      <c r="D4" s="11">
        <f>SUMIFS(Concentrado!E$2:E432,Concentrado!$A$2:$A432,"="&amp;$A4,Concentrado!$B$2:$B432, "=Colima")</f>
        <v>499</v>
      </c>
      <c r="E4" s="11">
        <f>SUMIFS(Concentrado!F$2:F432,Concentrado!$A$2:$A432,"="&amp;$A4,Concentrado!$B$2:$B432, "=Colima")</f>
        <v>36</v>
      </c>
      <c r="F4" s="11">
        <f>SUMIFS(Concentrado!G$2:G432,Concentrado!$A$2:$A432,"="&amp;$A4,Concentrado!$B$2:$B432, "=Colima")</f>
        <v>12</v>
      </c>
    </row>
    <row r="5" spans="1:6" x14ac:dyDescent="0.25">
      <c r="A5" s="8">
        <v>2015</v>
      </c>
      <c r="B5" s="11">
        <f>SUMIFS(Concentrado!C$2:C433,Concentrado!$A$2:$A433,"="&amp;$A5,Concentrado!$B$2:$B433, "=Colima")</f>
        <v>587</v>
      </c>
      <c r="C5" s="11">
        <f>SUMIFS(Concentrado!D$2:D433,Concentrado!$A$2:$A433,"="&amp;$A5,Concentrado!$B$2:$B433, "=Colima")</f>
        <v>568</v>
      </c>
      <c r="D5" s="11">
        <f>SUMIFS(Concentrado!E$2:E433,Concentrado!$A$2:$A433,"="&amp;$A5,Concentrado!$B$2:$B433, "=Colima")</f>
        <v>534</v>
      </c>
      <c r="E5" s="11">
        <f>SUMIFS(Concentrado!F$2:F433,Concentrado!$A$2:$A433,"="&amp;$A5,Concentrado!$B$2:$B433, "=Colima")</f>
        <v>31</v>
      </c>
      <c r="F5" s="11">
        <f>SUMIFS(Concentrado!G$2:G433,Concentrado!$A$2:$A433,"="&amp;$A5,Concentrado!$B$2:$B433, "=Colima")</f>
        <v>12</v>
      </c>
    </row>
    <row r="6" spans="1:6" x14ac:dyDescent="0.25">
      <c r="A6" s="8">
        <v>2016</v>
      </c>
      <c r="B6" s="11">
        <f>SUMIFS(Concentrado!C$2:C434,Concentrado!$A$2:$A434,"="&amp;$A6,Concentrado!$B$2:$B434, "=Colima")</f>
        <v>576</v>
      </c>
      <c r="C6" s="11">
        <f>SUMIFS(Concentrado!D$2:D434,Concentrado!$A$2:$A434,"="&amp;$A6,Concentrado!$B$2:$B434, "=Colima")</f>
        <v>528</v>
      </c>
      <c r="D6" s="11">
        <f>SUMIFS(Concentrado!E$2:E434,Concentrado!$A$2:$A434,"="&amp;$A6,Concentrado!$B$2:$B434, "=Colima")</f>
        <v>505</v>
      </c>
      <c r="E6" s="11">
        <f>SUMIFS(Concentrado!F$2:F434,Concentrado!$A$2:$A434,"="&amp;$A6,Concentrado!$B$2:$B434, "=Colima")</f>
        <v>30</v>
      </c>
      <c r="F6" s="11">
        <f>SUMIFS(Concentrado!G$2:G434,Concentrado!$A$2:$A434,"="&amp;$A6,Concentrado!$B$2:$B434, "=Colima")</f>
        <v>11</v>
      </c>
    </row>
    <row r="7" spans="1:6" x14ac:dyDescent="0.25">
      <c r="A7" s="8">
        <v>2017</v>
      </c>
      <c r="B7" s="11">
        <f>SUMIFS(Concentrado!C$2:C435,Concentrado!$A$2:$A435,"="&amp;$A7,Concentrado!$B$2:$B435, "=Colima")</f>
        <v>628</v>
      </c>
      <c r="C7" s="11">
        <f>SUMIFS(Concentrado!D$2:D435,Concentrado!$A$2:$A435,"="&amp;$A7,Concentrado!$B$2:$B435, "=Colima")</f>
        <v>646</v>
      </c>
      <c r="D7" s="11">
        <f>SUMIFS(Concentrado!E$2:E435,Concentrado!$A$2:$A435,"="&amp;$A7,Concentrado!$B$2:$B435, "=Colima")</f>
        <v>583</v>
      </c>
      <c r="E7" s="11">
        <f>SUMIFS(Concentrado!F$2:F435,Concentrado!$A$2:$A435,"="&amp;$A7,Concentrado!$B$2:$B435, "=Colima")</f>
        <v>36</v>
      </c>
      <c r="F7" s="11">
        <f>SUMIFS(Concentrado!G$2:G435,Concentrado!$A$2:$A435,"="&amp;$A7,Concentrado!$B$2:$B435, "=Colima")</f>
        <v>12</v>
      </c>
    </row>
    <row r="8" spans="1:6" x14ac:dyDescent="0.25">
      <c r="A8" s="8">
        <v>2018</v>
      </c>
      <c r="B8" s="11">
        <f>SUMIFS(Concentrado!C$2:C436,Concentrado!$A$2:$A436,"="&amp;$A8,Concentrado!$B$2:$B436, "=Colima")</f>
        <v>594</v>
      </c>
      <c r="C8" s="11">
        <f>SUMIFS(Concentrado!D$2:D436,Concentrado!$A$2:$A436,"="&amp;$A8,Concentrado!$B$2:$B436, "=Colima")</f>
        <v>649</v>
      </c>
      <c r="D8" s="11">
        <f>SUMIFS(Concentrado!E$2:E436,Concentrado!$A$2:$A436,"="&amp;$A8,Concentrado!$B$2:$B436, "=Colima")</f>
        <v>618</v>
      </c>
      <c r="E8" s="11">
        <f>SUMIFS(Concentrado!F$2:F436,Concentrado!$A$2:$A436,"="&amp;$A8,Concentrado!$B$2:$B436, "=Colima")</f>
        <v>33</v>
      </c>
      <c r="F8" s="11">
        <f>SUMIFS(Concentrado!G$2:G436,Concentrado!$A$2:$A436,"="&amp;$A8,Concentrado!$B$2:$B436, "=Colima")</f>
        <v>13</v>
      </c>
    </row>
    <row r="9" spans="1:6" x14ac:dyDescent="0.25">
      <c r="A9" s="8">
        <v>2019</v>
      </c>
      <c r="B9" s="11">
        <f>SUMIFS(Concentrado!C$2:C437,Concentrado!$A$2:$A437,"="&amp;$A9,Concentrado!$B$2:$B437, "=Colima")</f>
        <v>601</v>
      </c>
      <c r="C9" s="11">
        <f>SUMIFS(Concentrado!D$2:D437,Concentrado!$A$2:$A437,"="&amp;$A9,Concentrado!$B$2:$B437, "=Colima")</f>
        <v>667</v>
      </c>
      <c r="D9" s="11">
        <f>SUMIFS(Concentrado!E$2:E437,Concentrado!$A$2:$A437,"="&amp;$A9,Concentrado!$B$2:$B437, "=Colima")</f>
        <v>562</v>
      </c>
      <c r="E9" s="11">
        <f>SUMIFS(Concentrado!F$2:F437,Concentrado!$A$2:$A437,"="&amp;$A9,Concentrado!$B$2:$B437, "=Colima")</f>
        <v>31</v>
      </c>
      <c r="F9" s="11">
        <f>SUMIFS(Concentrado!G$2:G437,Concentrado!$A$2:$A437,"="&amp;$A9,Concentrado!$B$2:$B437, "=Colima")</f>
        <v>13</v>
      </c>
    </row>
    <row r="10" spans="1:6" x14ac:dyDescent="0.25">
      <c r="A10" s="8">
        <v>2020</v>
      </c>
      <c r="B10" s="11">
        <f>SUMIFS(Concentrado!C$2:C438,Concentrado!$A$2:$A438,"="&amp;$A10,Concentrado!$B$2:$B438, "=Colima")</f>
        <v>622</v>
      </c>
      <c r="C10" s="11">
        <f>SUMIFS(Concentrado!D$2:D438,Concentrado!$A$2:$A438,"="&amp;$A10,Concentrado!$B$2:$B438, "=Colima")</f>
        <v>664</v>
      </c>
      <c r="D10" s="11">
        <f>SUMIFS(Concentrado!E$2:E438,Concentrado!$A$2:$A438,"="&amp;$A10,Concentrado!$B$2:$B438, "=Colima")</f>
        <v>533</v>
      </c>
      <c r="E10" s="11">
        <f>SUMIFS(Concentrado!F$2:F438,Concentrado!$A$2:$A438,"="&amp;$A10,Concentrado!$B$2:$B438, "=Colima")</f>
        <v>32</v>
      </c>
      <c r="F10" s="11">
        <f>SUMIFS(Concentrado!G$2:G438,Concentrado!$A$2:$A438,"="&amp;$A10,Concentrado!$B$2:$B438, "=Colima")</f>
        <v>13</v>
      </c>
    </row>
    <row r="11" spans="1:6" x14ac:dyDescent="0.25">
      <c r="A11" s="8">
        <v>2021</v>
      </c>
      <c r="B11" s="11">
        <f>SUMIFS(Concentrado!C$2:C439,Concentrado!$A$2:$A439,"="&amp;$A11,Concentrado!$B$2:$B439, "=Colima")</f>
        <v>617</v>
      </c>
      <c r="C11" s="11">
        <f>SUMIFS(Concentrado!D$2:D439,Concentrado!$A$2:$A439,"="&amp;$A11,Concentrado!$B$2:$B439, "=Colima")</f>
        <v>686</v>
      </c>
      <c r="D11" s="11">
        <f>SUMIFS(Concentrado!E$2:E439,Concentrado!$A$2:$A439,"="&amp;$A11,Concentrado!$B$2:$B439, "=Colima")</f>
        <v>516</v>
      </c>
      <c r="E11" s="11">
        <f>SUMIFS(Concentrado!F$2:F439,Concentrado!$A$2:$A439,"="&amp;$A11,Concentrado!$B$2:$B439, "=Colima")</f>
        <v>31</v>
      </c>
      <c r="F11" s="11">
        <f>SUMIFS(Concentrado!G$2:G439,Concentrado!$A$2:$A439,"="&amp;$A11,Concentrado!$B$2:$B439, "=Colima")</f>
        <v>12</v>
      </c>
    </row>
    <row r="12" spans="1:6" x14ac:dyDescent="0.25">
      <c r="A12" s="8">
        <v>2022</v>
      </c>
      <c r="B12" s="11">
        <f>SUMIFS(Concentrado!C$2:C440,Concentrado!$A$2:$A440,"="&amp;$A12,Concentrado!$B$2:$B440, "=Colima")</f>
        <v>798</v>
      </c>
      <c r="C12" s="11">
        <f>SUMIFS(Concentrado!D$2:D440,Concentrado!$A$2:$A440,"="&amp;$A12,Concentrado!$B$2:$B440, "=Colima")</f>
        <v>698</v>
      </c>
      <c r="D12" s="11">
        <f>SUMIFS(Concentrado!E$2:E440,Concentrado!$A$2:$A440,"="&amp;$A12,Concentrado!$B$2:$B440, "=Colima")</f>
        <v>522</v>
      </c>
      <c r="E12" s="11">
        <f>SUMIFS(Concentrado!F$2:F440,Concentrado!$A$2:$A440,"="&amp;$A12,Concentrado!$B$2:$B440, "=Colima")</f>
        <v>31</v>
      </c>
      <c r="F12" s="11">
        <f>SUMIFS(Concentrado!G$2:G440,Concentrado!$A$2:$A440,"="&amp;$A12,Concentrado!$B$2:$B440, "=Colima")</f>
        <v>11</v>
      </c>
    </row>
    <row r="13" spans="1:6" x14ac:dyDescent="0.25">
      <c r="A13" s="8">
        <v>2023</v>
      </c>
      <c r="B13" s="11">
        <f>SUMIFS(Concentrado!C$2:C441,Concentrado!$A$2:$A441,"="&amp;$A13,Concentrado!$B$2:$B441, "=Colima")</f>
        <v>807</v>
      </c>
      <c r="C13" s="11">
        <f>SUMIFS(Concentrado!D$2:D441,Concentrado!$A$2:$A441,"="&amp;$A13,Concentrado!$B$2:$B441, "=Colima")</f>
        <v>717</v>
      </c>
      <c r="D13" s="11">
        <f>SUMIFS(Concentrado!E$2:E441,Concentrado!$A$2:$A441,"="&amp;$A13,Concentrado!$B$2:$B441, "=Colima")</f>
        <v>539</v>
      </c>
      <c r="E13" s="11">
        <f>SUMIFS(Concentrado!F$2:F441,Concentrado!$A$2:$A441,"="&amp;$A13,Concentrado!$B$2:$B441, "=Colima")</f>
        <v>30</v>
      </c>
      <c r="F13" s="11">
        <f>SUMIFS(Concentrado!G$2:G441,Concentrado!$A$2:$A441,"="&amp;$A13,Concentrado!$B$2:$B441, "=Colima")</f>
        <v>11</v>
      </c>
    </row>
    <row r="14" spans="1:6" x14ac:dyDescent="0.25">
      <c r="A14" s="8">
        <v>2024</v>
      </c>
      <c r="B14" s="11">
        <f>SUMIFS(Concentrado!C$2:C442,Concentrado!$A$2:$A442,"="&amp;$A14,Concentrado!$B$2:$B442, "=Colima")</f>
        <v>758</v>
      </c>
      <c r="C14" s="11">
        <f>SUMIFS(Concentrado!D$2:D442,Concentrado!$A$2:$A442,"="&amp;$A14,Concentrado!$B$2:$B442, "=Colima")</f>
        <v>701</v>
      </c>
      <c r="D14" s="11">
        <f>SUMIFS(Concentrado!E$2:E442,Concentrado!$A$2:$A442,"="&amp;$A14,Concentrado!$B$2:$B442, "=Colima")</f>
        <v>488</v>
      </c>
      <c r="E14" s="11">
        <f>SUMIFS(Concentrado!F$2:F442,Concentrado!$A$2:$A442,"="&amp;$A14,Concentrado!$B$2:$B442, "=Colima")</f>
        <v>36</v>
      </c>
      <c r="F14" s="11">
        <f>SUMIFS(Concentrado!G$2:G442,Concentrado!$A$2:$A442,"="&amp;$A14,Concentrado!$B$2:$B442, "=Colima")</f>
        <v>12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zoomScale="112" zoomScaleNormal="112" workbookViewId="0">
      <selection activeCell="F14" sqref="F14"/>
    </sheetView>
  </sheetViews>
  <sheetFormatPr baseColWidth="10" defaultRowHeight="15" x14ac:dyDescent="0.25"/>
  <cols>
    <col min="1" max="1" width="12.140625" customWidth="1"/>
    <col min="2" max="2" width="13.28515625" bestFit="1" customWidth="1"/>
    <col min="3" max="3" width="12.42578125" bestFit="1" customWidth="1"/>
    <col min="4" max="4" width="19.140625" customWidth="1"/>
    <col min="5" max="5" width="12.28515625" bestFit="1" customWidth="1"/>
    <col min="6" max="6" width="12" bestFit="1" customWidth="1"/>
  </cols>
  <sheetData>
    <row r="1" spans="1:6" s="4" customFormat="1" ht="42.75" x14ac:dyDescent="0.2">
      <c r="A1" s="1" t="s">
        <v>0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</row>
    <row r="2" spans="1:6" x14ac:dyDescent="0.25">
      <c r="A2" s="8">
        <v>2012</v>
      </c>
      <c r="B2" s="11">
        <f>SUMIFS(Concentrado!C$2:C430,Concentrado!$A$2:$A430,"="&amp;$A2,Concentrado!$B$2:$B430, "=Durango")</f>
        <v>1299</v>
      </c>
      <c r="C2" s="11">
        <f>SUMIFS(Concentrado!D$2:D430,Concentrado!$A$2:$A430,"="&amp;$A2,Concentrado!$B$2:$B430, "=Durango")</f>
        <v>1569</v>
      </c>
      <c r="D2" s="11">
        <f>SUMIFS(Concentrado!E$2:E430,Concentrado!$A$2:$A430,"="&amp;$A2,Concentrado!$B$2:$B430, "=Durango")</f>
        <v>979</v>
      </c>
      <c r="E2" s="11">
        <f>SUMIFS(Concentrado!F$2:F430,Concentrado!$A$2:$A430,"="&amp;$A2,Concentrado!$B$2:$B430, "=Durango")</f>
        <v>54</v>
      </c>
      <c r="F2" s="11">
        <f>SUMIFS(Concentrado!G$2:G430,Concentrado!$A$2:$A430,"="&amp;$A2,Concentrado!$B$2:$B430, "=Durango")</f>
        <v>50</v>
      </c>
    </row>
    <row r="3" spans="1:6" x14ac:dyDescent="0.25">
      <c r="A3" s="8">
        <v>2013</v>
      </c>
      <c r="B3" s="11">
        <f>SUMIFS(Concentrado!C$2:C431,Concentrado!$A$2:$A431,"="&amp;$A3,Concentrado!$B$2:$B431, "=Durango")</f>
        <v>1267</v>
      </c>
      <c r="C3" s="11">
        <f>SUMIFS(Concentrado!D$2:D431,Concentrado!$A$2:$A431,"="&amp;$A3,Concentrado!$B$2:$B431, "=Durango")</f>
        <v>1715</v>
      </c>
      <c r="D3" s="11">
        <f>SUMIFS(Concentrado!E$2:E431,Concentrado!$A$2:$A431,"="&amp;$A3,Concentrado!$B$2:$B431, "=Durango")</f>
        <v>1177</v>
      </c>
      <c r="E3" s="11">
        <f>SUMIFS(Concentrado!F$2:F431,Concentrado!$A$2:$A431,"="&amp;$A3,Concentrado!$B$2:$B431, "=Durango")</f>
        <v>70</v>
      </c>
      <c r="F3" s="11">
        <f>SUMIFS(Concentrado!G$2:G431,Concentrado!$A$2:$A431,"="&amp;$A3,Concentrado!$B$2:$B431, "=Durango")</f>
        <v>49</v>
      </c>
    </row>
    <row r="4" spans="1:6" x14ac:dyDescent="0.25">
      <c r="A4" s="8">
        <v>2014</v>
      </c>
      <c r="B4" s="11">
        <f>SUMIFS(Concentrado!C$2:C432,Concentrado!$A$2:$A432,"="&amp;$A4,Concentrado!$B$2:$B432, "=Durango")</f>
        <v>1267</v>
      </c>
      <c r="C4" s="11">
        <f>SUMIFS(Concentrado!D$2:D432,Concentrado!$A$2:$A432,"="&amp;$A4,Concentrado!$B$2:$B432, "=Durango")</f>
        <v>1700</v>
      </c>
      <c r="D4" s="11">
        <f>SUMIFS(Concentrado!E$2:E432,Concentrado!$A$2:$A432,"="&amp;$A4,Concentrado!$B$2:$B432, "=Durango")</f>
        <v>1067</v>
      </c>
      <c r="E4" s="11">
        <f>SUMIFS(Concentrado!F$2:F432,Concentrado!$A$2:$A432,"="&amp;$A4,Concentrado!$B$2:$B432, "=Durango")</f>
        <v>68</v>
      </c>
      <c r="F4" s="11">
        <f>SUMIFS(Concentrado!G$2:G432,Concentrado!$A$2:$A432,"="&amp;$A4,Concentrado!$B$2:$B432, "=Durango")</f>
        <v>50</v>
      </c>
    </row>
    <row r="5" spans="1:6" x14ac:dyDescent="0.25">
      <c r="A5" s="8">
        <v>2015</v>
      </c>
      <c r="B5" s="11">
        <f>SUMIFS(Concentrado!C$2:C433,Concentrado!$A$2:$A433,"="&amp;$A5,Concentrado!$B$2:$B433, "=Durango")</f>
        <v>1301</v>
      </c>
      <c r="C5" s="11">
        <f>SUMIFS(Concentrado!D$2:D433,Concentrado!$A$2:$A433,"="&amp;$A5,Concentrado!$B$2:$B433, "=Durango")</f>
        <v>1537</v>
      </c>
      <c r="D5" s="11">
        <f>SUMIFS(Concentrado!E$2:E433,Concentrado!$A$2:$A433,"="&amp;$A5,Concentrado!$B$2:$B433, "=Durango")</f>
        <v>696</v>
      </c>
      <c r="E5" s="11">
        <f>SUMIFS(Concentrado!F$2:F433,Concentrado!$A$2:$A433,"="&amp;$A5,Concentrado!$B$2:$B433, "=Durango")</f>
        <v>63</v>
      </c>
      <c r="F5" s="11">
        <f>SUMIFS(Concentrado!G$2:G433,Concentrado!$A$2:$A433,"="&amp;$A5,Concentrado!$B$2:$B433, "=Durango")</f>
        <v>43</v>
      </c>
    </row>
    <row r="6" spans="1:6" x14ac:dyDescent="0.25">
      <c r="A6" s="8">
        <v>2016</v>
      </c>
      <c r="B6" s="11">
        <f>SUMIFS(Concentrado!C$2:C434,Concentrado!$A$2:$A434,"="&amp;$A6,Concentrado!$B$2:$B434, "=Durango")</f>
        <v>1284</v>
      </c>
      <c r="C6" s="11">
        <f>SUMIFS(Concentrado!D$2:D434,Concentrado!$A$2:$A434,"="&amp;$A6,Concentrado!$B$2:$B434, "=Durango")</f>
        <v>1453</v>
      </c>
      <c r="D6" s="11">
        <f>SUMIFS(Concentrado!E$2:E434,Concentrado!$A$2:$A434,"="&amp;$A6,Concentrado!$B$2:$B434, "=Durango")</f>
        <v>672</v>
      </c>
      <c r="E6" s="11">
        <f>SUMIFS(Concentrado!F$2:F434,Concentrado!$A$2:$A434,"="&amp;$A6,Concentrado!$B$2:$B434, "=Durango")</f>
        <v>62</v>
      </c>
      <c r="F6" s="11">
        <f>SUMIFS(Concentrado!G$2:G434,Concentrado!$A$2:$A434,"="&amp;$A6,Concentrado!$B$2:$B434, "=Durango")</f>
        <v>44</v>
      </c>
    </row>
    <row r="7" spans="1:6" x14ac:dyDescent="0.25">
      <c r="A7" s="8">
        <v>2017</v>
      </c>
      <c r="B7" s="11">
        <f>SUMIFS(Concentrado!C$2:C435,Concentrado!$A$2:$A435,"="&amp;$A7,Concentrado!$B$2:$B435, "=Durango")</f>
        <v>1261</v>
      </c>
      <c r="C7" s="11">
        <f>SUMIFS(Concentrado!D$2:D435,Concentrado!$A$2:$A435,"="&amp;$A7,Concentrado!$B$2:$B435, "=Durango")</f>
        <v>1545</v>
      </c>
      <c r="D7" s="11">
        <f>SUMIFS(Concentrado!E$2:E435,Concentrado!$A$2:$A435,"="&amp;$A7,Concentrado!$B$2:$B435, "=Durango")</f>
        <v>654</v>
      </c>
      <c r="E7" s="11">
        <f>SUMIFS(Concentrado!F$2:F435,Concentrado!$A$2:$A435,"="&amp;$A7,Concentrado!$B$2:$B435, "=Durango")</f>
        <v>64</v>
      </c>
      <c r="F7" s="11">
        <f>SUMIFS(Concentrado!G$2:G435,Concentrado!$A$2:$A435,"="&amp;$A7,Concentrado!$B$2:$B435, "=Durango")</f>
        <v>44</v>
      </c>
    </row>
    <row r="8" spans="1:6" x14ac:dyDescent="0.25">
      <c r="A8" s="8">
        <v>2018</v>
      </c>
      <c r="B8" s="11">
        <f>SUMIFS(Concentrado!C$2:C436,Concentrado!$A$2:$A436,"="&amp;$A8,Concentrado!$B$2:$B436, "=Durango")</f>
        <v>1296</v>
      </c>
      <c r="C8" s="11">
        <f>SUMIFS(Concentrado!D$2:D436,Concentrado!$A$2:$A436,"="&amp;$A8,Concentrado!$B$2:$B436, "=Durango")</f>
        <v>1542</v>
      </c>
      <c r="D8" s="11">
        <f>SUMIFS(Concentrado!E$2:E436,Concentrado!$A$2:$A436,"="&amp;$A8,Concentrado!$B$2:$B436, "=Durango")</f>
        <v>656</v>
      </c>
      <c r="E8" s="11">
        <f>SUMIFS(Concentrado!F$2:F436,Concentrado!$A$2:$A436,"="&amp;$A8,Concentrado!$B$2:$B436, "=Durango")</f>
        <v>65</v>
      </c>
      <c r="F8" s="11">
        <f>SUMIFS(Concentrado!G$2:G436,Concentrado!$A$2:$A436,"="&amp;$A8,Concentrado!$B$2:$B436, "=Durango")</f>
        <v>44</v>
      </c>
    </row>
    <row r="9" spans="1:6" x14ac:dyDescent="0.25">
      <c r="A9" s="8">
        <v>2019</v>
      </c>
      <c r="B9" s="11">
        <f>SUMIFS(Concentrado!C$2:C437,Concentrado!$A$2:$A437,"="&amp;$A9,Concentrado!$B$2:$B437, "=Durango")</f>
        <v>1306</v>
      </c>
      <c r="C9" s="11">
        <f>SUMIFS(Concentrado!D$2:D437,Concentrado!$A$2:$A437,"="&amp;$A9,Concentrado!$B$2:$B437, "=Durango")</f>
        <v>1518</v>
      </c>
      <c r="D9" s="11">
        <f>SUMIFS(Concentrado!E$2:E437,Concentrado!$A$2:$A437,"="&amp;$A9,Concentrado!$B$2:$B437, "=Durango")</f>
        <v>645</v>
      </c>
      <c r="E9" s="11">
        <f>SUMIFS(Concentrado!F$2:F437,Concentrado!$A$2:$A437,"="&amp;$A9,Concentrado!$B$2:$B437, "=Durango")</f>
        <v>62</v>
      </c>
      <c r="F9" s="11">
        <f>SUMIFS(Concentrado!G$2:G437,Concentrado!$A$2:$A437,"="&amp;$A9,Concentrado!$B$2:$B437, "=Durango")</f>
        <v>44</v>
      </c>
    </row>
    <row r="10" spans="1:6" x14ac:dyDescent="0.25">
      <c r="A10" s="8">
        <v>2020</v>
      </c>
      <c r="B10" s="11">
        <f>SUMIFS(Concentrado!C$2:C438,Concentrado!$A$2:$A438,"="&amp;$A10,Concentrado!$B$2:$B438, "=Durango")</f>
        <v>1410</v>
      </c>
      <c r="C10" s="11">
        <f>SUMIFS(Concentrado!D$2:D438,Concentrado!$A$2:$A438,"="&amp;$A10,Concentrado!$B$2:$B438, "=Durango")</f>
        <v>1587</v>
      </c>
      <c r="D10" s="11">
        <f>SUMIFS(Concentrado!E$2:E438,Concentrado!$A$2:$A438,"="&amp;$A10,Concentrado!$B$2:$B438, "=Durango")</f>
        <v>758</v>
      </c>
      <c r="E10" s="11">
        <f>SUMIFS(Concentrado!F$2:F438,Concentrado!$A$2:$A438,"="&amp;$A10,Concentrado!$B$2:$B438, "=Durango")</f>
        <v>63</v>
      </c>
      <c r="F10" s="11">
        <f>SUMIFS(Concentrado!G$2:G438,Concentrado!$A$2:$A438,"="&amp;$A10,Concentrado!$B$2:$B438, "=Durango")</f>
        <v>44</v>
      </c>
    </row>
    <row r="11" spans="1:6" x14ac:dyDescent="0.25">
      <c r="A11" s="8">
        <v>2021</v>
      </c>
      <c r="B11" s="11">
        <f>SUMIFS(Concentrado!C$2:C439,Concentrado!$A$2:$A439,"="&amp;$A11,Concentrado!$B$2:$B439, "=Durango")</f>
        <v>1350</v>
      </c>
      <c r="C11" s="11">
        <f>SUMIFS(Concentrado!D$2:D439,Concentrado!$A$2:$A439,"="&amp;$A11,Concentrado!$B$2:$B439, "=Durango")</f>
        <v>1614</v>
      </c>
      <c r="D11" s="11">
        <f>SUMIFS(Concentrado!E$2:E439,Concentrado!$A$2:$A439,"="&amp;$A11,Concentrado!$B$2:$B439, "=Durango")</f>
        <v>793</v>
      </c>
      <c r="E11" s="11">
        <f>SUMIFS(Concentrado!F$2:F439,Concentrado!$A$2:$A439,"="&amp;$A11,Concentrado!$B$2:$B439, "=Durango")</f>
        <v>63</v>
      </c>
      <c r="F11" s="11">
        <f>SUMIFS(Concentrado!G$2:G439,Concentrado!$A$2:$A439,"="&amp;$A11,Concentrado!$B$2:$B439, "=Durango")</f>
        <v>44</v>
      </c>
    </row>
    <row r="12" spans="1:6" x14ac:dyDescent="0.25">
      <c r="A12" s="8">
        <v>2022</v>
      </c>
      <c r="B12" s="11">
        <f>SUMIFS(Concentrado!C$2:C440,Concentrado!$A$2:$A440,"="&amp;$A12,Concentrado!$B$2:$B440, "=Durango")</f>
        <v>1389</v>
      </c>
      <c r="C12" s="11">
        <f>SUMIFS(Concentrado!D$2:D440,Concentrado!$A$2:$A440,"="&amp;$A12,Concentrado!$B$2:$B440, "=Durango")</f>
        <v>1563</v>
      </c>
      <c r="D12" s="11">
        <f>SUMIFS(Concentrado!E$2:E440,Concentrado!$A$2:$A440,"="&amp;$A12,Concentrado!$B$2:$B440, "=Durango")</f>
        <v>777</v>
      </c>
      <c r="E12" s="11">
        <f>SUMIFS(Concentrado!F$2:F440,Concentrado!$A$2:$A440,"="&amp;$A12,Concentrado!$B$2:$B440, "=Durango")</f>
        <v>76</v>
      </c>
      <c r="F12" s="11">
        <f>SUMIFS(Concentrado!G$2:G440,Concentrado!$A$2:$A440,"="&amp;$A12,Concentrado!$B$2:$B440, "=Durango")</f>
        <v>46</v>
      </c>
    </row>
    <row r="13" spans="1:6" x14ac:dyDescent="0.25">
      <c r="A13" s="8">
        <v>2023</v>
      </c>
      <c r="B13" s="11">
        <f>SUMIFS(Concentrado!C$2:C441,Concentrado!$A$2:$A441,"="&amp;$A13,Concentrado!$B$2:$B441, "=Durango")</f>
        <v>1431</v>
      </c>
      <c r="C13" s="11">
        <f>SUMIFS(Concentrado!D$2:D441,Concentrado!$A$2:$A441,"="&amp;$A13,Concentrado!$B$2:$B441, "=Durango")</f>
        <v>1619</v>
      </c>
      <c r="D13" s="11">
        <f>SUMIFS(Concentrado!E$2:E441,Concentrado!$A$2:$A441,"="&amp;$A13,Concentrado!$B$2:$B441, "=Durango")</f>
        <v>834</v>
      </c>
      <c r="E13" s="11">
        <f>SUMIFS(Concentrado!F$2:F441,Concentrado!$A$2:$A441,"="&amp;$A13,Concentrado!$B$2:$B441, "=Durango")</f>
        <v>68</v>
      </c>
      <c r="F13" s="11">
        <f>SUMIFS(Concentrado!G$2:G441,Concentrado!$A$2:$A441,"="&amp;$A13,Concentrado!$B$2:$B441, "=Durango")</f>
        <v>47</v>
      </c>
    </row>
    <row r="14" spans="1:6" x14ac:dyDescent="0.25">
      <c r="A14" s="8">
        <v>2024</v>
      </c>
      <c r="B14" s="11">
        <f>SUMIFS(Concentrado!C$2:C442,Concentrado!$A$2:$A442,"="&amp;$A14,Concentrado!$B$2:$B442, "=Durango")</f>
        <v>1478</v>
      </c>
      <c r="C14" s="11">
        <f>SUMIFS(Concentrado!D$2:D442,Concentrado!$A$2:$A442,"="&amp;$A14,Concentrado!$B$2:$B442, "=Durango")</f>
        <v>1640</v>
      </c>
      <c r="D14" s="11">
        <f>SUMIFS(Concentrado!E$2:E442,Concentrado!$A$2:$A442,"="&amp;$A14,Concentrado!$B$2:$B442, "=Durango")</f>
        <v>879</v>
      </c>
      <c r="E14" s="11">
        <f>SUMIFS(Concentrado!F$2:F442,Concentrado!$A$2:$A442,"="&amp;$A14,Concentrado!$B$2:$B442, "=Durango")</f>
        <v>62</v>
      </c>
      <c r="F14" s="11">
        <f>SUMIFS(Concentrado!G$2:G442,Concentrado!$A$2:$A442,"="&amp;$A14,Concentrado!$B$2:$B442, "=Durango")</f>
        <v>45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zoomScale="112" zoomScaleNormal="112" workbookViewId="0">
      <selection activeCell="F14" sqref="F14"/>
    </sheetView>
  </sheetViews>
  <sheetFormatPr baseColWidth="10" defaultRowHeight="15" x14ac:dyDescent="0.25"/>
  <cols>
    <col min="1" max="1" width="12.140625" customWidth="1"/>
    <col min="2" max="2" width="13.28515625" bestFit="1" customWidth="1"/>
    <col min="3" max="3" width="12.42578125" bestFit="1" customWidth="1"/>
    <col min="4" max="4" width="19.140625" customWidth="1"/>
    <col min="5" max="5" width="12.28515625" bestFit="1" customWidth="1"/>
    <col min="6" max="6" width="12" bestFit="1" customWidth="1"/>
  </cols>
  <sheetData>
    <row r="1" spans="1:6" s="4" customFormat="1" ht="42.75" x14ac:dyDescent="0.2">
      <c r="A1" s="1" t="s">
        <v>0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</row>
    <row r="2" spans="1:6" x14ac:dyDescent="0.25">
      <c r="A2" s="8">
        <v>2012</v>
      </c>
      <c r="B2" s="11">
        <f>SUMIFS(Concentrado!C$2:C430,Concentrado!$A$2:$A430,"="&amp;$A2,Concentrado!$B$2:$B430, "=Guanajuato")</f>
        <v>2541</v>
      </c>
      <c r="C2" s="11">
        <f>SUMIFS(Concentrado!D$2:D430,Concentrado!$A$2:$A430,"="&amp;$A2,Concentrado!$B$2:$B430, "=Guanajuato")</f>
        <v>3064</v>
      </c>
      <c r="D2" s="11">
        <f>SUMIFS(Concentrado!E$2:E430,Concentrado!$A$2:$A430,"="&amp;$A2,Concentrado!$B$2:$B430, "=Guanajuato")</f>
        <v>2077</v>
      </c>
      <c r="E2" s="11">
        <f>SUMIFS(Concentrado!F$2:F430,Concentrado!$A$2:$A430,"="&amp;$A2,Concentrado!$B$2:$B430, "=Guanajuato")</f>
        <v>143</v>
      </c>
      <c r="F2" s="11">
        <f>SUMIFS(Concentrado!G$2:G430,Concentrado!$A$2:$A430,"="&amp;$A2,Concentrado!$B$2:$B430, "=Guanajuato")</f>
        <v>104</v>
      </c>
    </row>
    <row r="3" spans="1:6" x14ac:dyDescent="0.25">
      <c r="A3" s="8">
        <v>2013</v>
      </c>
      <c r="B3" s="11">
        <f>SUMIFS(Concentrado!C$2:C431,Concentrado!$A$2:$A431,"="&amp;$A3,Concentrado!$B$2:$B431, "=Guanajuato")</f>
        <v>2609</v>
      </c>
      <c r="C3" s="11">
        <f>SUMIFS(Concentrado!D$2:D431,Concentrado!$A$2:$A431,"="&amp;$A3,Concentrado!$B$2:$B431, "=Guanajuato")</f>
        <v>3221</v>
      </c>
      <c r="D3" s="11">
        <f>SUMIFS(Concentrado!E$2:E431,Concentrado!$A$2:$A431,"="&amp;$A3,Concentrado!$B$2:$B431, "=Guanajuato")</f>
        <v>2143</v>
      </c>
      <c r="E3" s="11">
        <f>SUMIFS(Concentrado!F$2:F431,Concentrado!$A$2:$A431,"="&amp;$A3,Concentrado!$B$2:$B431, "=Guanajuato")</f>
        <v>169</v>
      </c>
      <c r="F3" s="11">
        <f>SUMIFS(Concentrado!G$2:G431,Concentrado!$A$2:$A431,"="&amp;$A3,Concentrado!$B$2:$B431, "=Guanajuato")</f>
        <v>105</v>
      </c>
    </row>
    <row r="4" spans="1:6" x14ac:dyDescent="0.25">
      <c r="A4" s="8">
        <v>2014</v>
      </c>
      <c r="B4" s="11">
        <f>SUMIFS(Concentrado!C$2:C432,Concentrado!$A$2:$A432,"="&amp;$A4,Concentrado!$B$2:$B432, "=Guanajuato")</f>
        <v>2707</v>
      </c>
      <c r="C4" s="11">
        <f>SUMIFS(Concentrado!D$2:D432,Concentrado!$A$2:$A432,"="&amp;$A4,Concentrado!$B$2:$B432, "=Guanajuato")</f>
        <v>3186</v>
      </c>
      <c r="D4" s="11">
        <f>SUMIFS(Concentrado!E$2:E432,Concentrado!$A$2:$A432,"="&amp;$A4,Concentrado!$B$2:$B432, "=Guanajuato")</f>
        <v>2211</v>
      </c>
      <c r="E4" s="11">
        <f>SUMIFS(Concentrado!F$2:F432,Concentrado!$A$2:$A432,"="&amp;$A4,Concentrado!$B$2:$B432, "=Guanajuato")</f>
        <v>172</v>
      </c>
      <c r="F4" s="11">
        <f>SUMIFS(Concentrado!G$2:G432,Concentrado!$A$2:$A432,"="&amp;$A4,Concentrado!$B$2:$B432, "=Guanajuato")</f>
        <v>102</v>
      </c>
    </row>
    <row r="5" spans="1:6" x14ac:dyDescent="0.25">
      <c r="A5" s="8">
        <v>2015</v>
      </c>
      <c r="B5" s="11">
        <f>SUMIFS(Concentrado!C$2:C433,Concentrado!$A$2:$A433,"="&amp;$A5,Concentrado!$B$2:$B433, "=Guanajuato")</f>
        <v>2819</v>
      </c>
      <c r="C5" s="11">
        <f>SUMIFS(Concentrado!D$2:D433,Concentrado!$A$2:$A433,"="&amp;$A5,Concentrado!$B$2:$B433, "=Guanajuato")</f>
        <v>3346</v>
      </c>
      <c r="D5" s="11">
        <f>SUMIFS(Concentrado!E$2:E433,Concentrado!$A$2:$A433,"="&amp;$A5,Concentrado!$B$2:$B433, "=Guanajuato")</f>
        <v>2138</v>
      </c>
      <c r="E5" s="11">
        <f>SUMIFS(Concentrado!F$2:F433,Concentrado!$A$2:$A433,"="&amp;$A5,Concentrado!$B$2:$B433, "=Guanajuato")</f>
        <v>170</v>
      </c>
      <c r="F5" s="11">
        <f>SUMIFS(Concentrado!G$2:G433,Concentrado!$A$2:$A433,"="&amp;$A5,Concentrado!$B$2:$B433, "=Guanajuato")</f>
        <v>88</v>
      </c>
    </row>
    <row r="6" spans="1:6" x14ac:dyDescent="0.25">
      <c r="A6" s="8">
        <v>2016</v>
      </c>
      <c r="B6" s="11">
        <f>SUMIFS(Concentrado!C$2:C434,Concentrado!$A$2:$A434,"="&amp;$A6,Concentrado!$B$2:$B434, "=Guanajuato")</f>
        <v>2836</v>
      </c>
      <c r="C6" s="11">
        <f>SUMIFS(Concentrado!D$2:D434,Concentrado!$A$2:$A434,"="&amp;$A6,Concentrado!$B$2:$B434, "=Guanajuato")</f>
        <v>3340</v>
      </c>
      <c r="D6" s="11">
        <f>SUMIFS(Concentrado!E$2:E434,Concentrado!$A$2:$A434,"="&amp;$A6,Concentrado!$B$2:$B434, "=Guanajuato")</f>
        <v>2111</v>
      </c>
      <c r="E6" s="11">
        <f>SUMIFS(Concentrado!F$2:F434,Concentrado!$A$2:$A434,"="&amp;$A6,Concentrado!$B$2:$B434, "=Guanajuato")</f>
        <v>169</v>
      </c>
      <c r="F6" s="11">
        <f>SUMIFS(Concentrado!G$2:G434,Concentrado!$A$2:$A434,"="&amp;$A6,Concentrado!$B$2:$B434, "=Guanajuato")</f>
        <v>85</v>
      </c>
    </row>
    <row r="7" spans="1:6" x14ac:dyDescent="0.25">
      <c r="A7" s="8">
        <v>2017</v>
      </c>
      <c r="B7" s="11">
        <f>SUMIFS(Concentrado!C$2:C435,Concentrado!$A$2:$A435,"="&amp;$A7,Concentrado!$B$2:$B435, "=Guanajuato")</f>
        <v>2810</v>
      </c>
      <c r="C7" s="11">
        <f>SUMIFS(Concentrado!D$2:D435,Concentrado!$A$2:$A435,"="&amp;$A7,Concentrado!$B$2:$B435, "=Guanajuato")</f>
        <v>3335</v>
      </c>
      <c r="D7" s="11">
        <f>SUMIFS(Concentrado!E$2:E435,Concentrado!$A$2:$A435,"="&amp;$A7,Concentrado!$B$2:$B435, "=Guanajuato")</f>
        <v>2067</v>
      </c>
      <c r="E7" s="11">
        <f>SUMIFS(Concentrado!F$2:F435,Concentrado!$A$2:$A435,"="&amp;$A7,Concentrado!$B$2:$B435, "=Guanajuato")</f>
        <v>168</v>
      </c>
      <c r="F7" s="11">
        <f>SUMIFS(Concentrado!G$2:G435,Concentrado!$A$2:$A435,"="&amp;$A7,Concentrado!$B$2:$B435, "=Guanajuato")</f>
        <v>82</v>
      </c>
    </row>
    <row r="8" spans="1:6" x14ac:dyDescent="0.25">
      <c r="A8" s="8">
        <v>2018</v>
      </c>
      <c r="B8" s="11">
        <f>SUMIFS(Concentrado!C$2:C436,Concentrado!$A$2:$A436,"="&amp;$A8,Concentrado!$B$2:$B436, "=Guanajuato")</f>
        <v>2974</v>
      </c>
      <c r="C8" s="11">
        <f>SUMIFS(Concentrado!D$2:D436,Concentrado!$A$2:$A436,"="&amp;$A8,Concentrado!$B$2:$B436, "=Guanajuato")</f>
        <v>3657</v>
      </c>
      <c r="D8" s="11">
        <f>SUMIFS(Concentrado!E$2:E436,Concentrado!$A$2:$A436,"="&amp;$A8,Concentrado!$B$2:$B436, "=Guanajuato")</f>
        <v>2122</v>
      </c>
      <c r="E8" s="11">
        <f>SUMIFS(Concentrado!F$2:F436,Concentrado!$A$2:$A436,"="&amp;$A8,Concentrado!$B$2:$B436, "=Guanajuato")</f>
        <v>174</v>
      </c>
      <c r="F8" s="11">
        <f>SUMIFS(Concentrado!G$2:G436,Concentrado!$A$2:$A436,"="&amp;$A8,Concentrado!$B$2:$B436, "=Guanajuato")</f>
        <v>85</v>
      </c>
    </row>
    <row r="9" spans="1:6" x14ac:dyDescent="0.25">
      <c r="A9" s="8">
        <v>2019</v>
      </c>
      <c r="B9" s="11">
        <f>SUMIFS(Concentrado!C$2:C437,Concentrado!$A$2:$A437,"="&amp;$A9,Concentrado!$B$2:$B437, "=Guanajuato")</f>
        <v>2995</v>
      </c>
      <c r="C9" s="11">
        <f>SUMIFS(Concentrado!D$2:D437,Concentrado!$A$2:$A437,"="&amp;$A9,Concentrado!$B$2:$B437, "=Guanajuato")</f>
        <v>3752</v>
      </c>
      <c r="D9" s="11">
        <f>SUMIFS(Concentrado!E$2:E437,Concentrado!$A$2:$A437,"="&amp;$A9,Concentrado!$B$2:$B437, "=Guanajuato")</f>
        <v>2488</v>
      </c>
      <c r="E9" s="11">
        <f>SUMIFS(Concentrado!F$2:F437,Concentrado!$A$2:$A437,"="&amp;$A9,Concentrado!$B$2:$B437, "=Guanajuato")</f>
        <v>177</v>
      </c>
      <c r="F9" s="11">
        <f>SUMIFS(Concentrado!G$2:G437,Concentrado!$A$2:$A437,"="&amp;$A9,Concentrado!$B$2:$B437, "=Guanajuato")</f>
        <v>82</v>
      </c>
    </row>
    <row r="10" spans="1:6" x14ac:dyDescent="0.25">
      <c r="A10" s="8">
        <v>2020</v>
      </c>
      <c r="B10" s="11">
        <f>SUMIFS(Concentrado!C$2:C438,Concentrado!$A$2:$A438,"="&amp;$A10,Concentrado!$B$2:$B438, "=Guanajuato")</f>
        <v>3026</v>
      </c>
      <c r="C10" s="11">
        <f>SUMIFS(Concentrado!D$2:D438,Concentrado!$A$2:$A438,"="&amp;$A10,Concentrado!$B$2:$B438, "=Guanajuato")</f>
        <v>3830</v>
      </c>
      <c r="D10" s="11">
        <f>SUMIFS(Concentrado!E$2:E438,Concentrado!$A$2:$A438,"="&amp;$A10,Concentrado!$B$2:$B438, "=Guanajuato")</f>
        <v>2575</v>
      </c>
      <c r="E10" s="11">
        <f>SUMIFS(Concentrado!F$2:F438,Concentrado!$A$2:$A438,"="&amp;$A10,Concentrado!$B$2:$B438, "=Guanajuato")</f>
        <v>178</v>
      </c>
      <c r="F10" s="11">
        <f>SUMIFS(Concentrado!G$2:G438,Concentrado!$A$2:$A438,"="&amp;$A10,Concentrado!$B$2:$B438, "=Guanajuato")</f>
        <v>85</v>
      </c>
    </row>
    <row r="11" spans="1:6" x14ac:dyDescent="0.25">
      <c r="A11" s="8">
        <v>2021</v>
      </c>
      <c r="B11" s="11">
        <f>SUMIFS(Concentrado!C$2:C439,Concentrado!$A$2:$A439,"="&amp;$A11,Concentrado!$B$2:$B439, "=Guanajuato")</f>
        <v>3031</v>
      </c>
      <c r="C11" s="11">
        <f>SUMIFS(Concentrado!D$2:D439,Concentrado!$A$2:$A439,"="&amp;$A11,Concentrado!$B$2:$B439, "=Guanajuato")</f>
        <v>3840</v>
      </c>
      <c r="D11" s="11">
        <f>SUMIFS(Concentrado!E$2:E439,Concentrado!$A$2:$A439,"="&amp;$A11,Concentrado!$B$2:$B439, "=Guanajuato")</f>
        <v>2544</v>
      </c>
      <c r="E11" s="11">
        <f>SUMIFS(Concentrado!F$2:F439,Concentrado!$A$2:$A439,"="&amp;$A11,Concentrado!$B$2:$B439, "=Guanajuato")</f>
        <v>180</v>
      </c>
      <c r="F11" s="11">
        <f>SUMIFS(Concentrado!G$2:G439,Concentrado!$A$2:$A439,"="&amp;$A11,Concentrado!$B$2:$B439, "=Guanajuato")</f>
        <v>80</v>
      </c>
    </row>
    <row r="12" spans="1:6" x14ac:dyDescent="0.25">
      <c r="A12" s="8">
        <v>2022</v>
      </c>
      <c r="B12" s="11">
        <f>SUMIFS(Concentrado!C$2:C440,Concentrado!$A$2:$A440,"="&amp;$A12,Concentrado!$B$2:$B440, "=Guanajuato")</f>
        <v>3080</v>
      </c>
      <c r="C12" s="11">
        <f>SUMIFS(Concentrado!D$2:D440,Concentrado!$A$2:$A440,"="&amp;$A12,Concentrado!$B$2:$B440, "=Guanajuato")</f>
        <v>3995</v>
      </c>
      <c r="D12" s="11">
        <f>SUMIFS(Concentrado!E$2:E440,Concentrado!$A$2:$A440,"="&amp;$A12,Concentrado!$B$2:$B440, "=Guanajuato")</f>
        <v>2532</v>
      </c>
      <c r="E12" s="11">
        <f>SUMIFS(Concentrado!F$2:F440,Concentrado!$A$2:$A440,"="&amp;$A12,Concentrado!$B$2:$B440, "=Guanajuato")</f>
        <v>196</v>
      </c>
      <c r="F12" s="11">
        <f>SUMIFS(Concentrado!G$2:G440,Concentrado!$A$2:$A440,"="&amp;$A12,Concentrado!$B$2:$B440, "=Guanajuato")</f>
        <v>79</v>
      </c>
    </row>
    <row r="13" spans="1:6" x14ac:dyDescent="0.25">
      <c r="A13" s="8">
        <v>2023</v>
      </c>
      <c r="B13" s="11">
        <f>SUMIFS(Concentrado!C$2:C441,Concentrado!$A$2:$A441,"="&amp;$A13,Concentrado!$B$2:$B441, "=Guanajuato")</f>
        <v>3132</v>
      </c>
      <c r="C13" s="11">
        <f>SUMIFS(Concentrado!D$2:D441,Concentrado!$A$2:$A441,"="&amp;$A13,Concentrado!$B$2:$B441, "=Guanajuato")</f>
        <v>3772</v>
      </c>
      <c r="D13" s="11">
        <f>SUMIFS(Concentrado!E$2:E441,Concentrado!$A$2:$A441,"="&amp;$A13,Concentrado!$B$2:$B441, "=Guanajuato")</f>
        <v>2567</v>
      </c>
      <c r="E13" s="11">
        <f>SUMIFS(Concentrado!F$2:F441,Concentrado!$A$2:$A441,"="&amp;$A13,Concentrado!$B$2:$B441, "=Guanajuato")</f>
        <v>189</v>
      </c>
      <c r="F13" s="11">
        <f>SUMIFS(Concentrado!G$2:G441,Concentrado!$A$2:$A441,"="&amp;$A13,Concentrado!$B$2:$B441, "=Guanajuato")</f>
        <v>80</v>
      </c>
    </row>
    <row r="14" spans="1:6" x14ac:dyDescent="0.25">
      <c r="A14" s="8">
        <v>2024</v>
      </c>
      <c r="B14" s="11">
        <f>SUMIFS(Concentrado!C$2:C442,Concentrado!$A$2:$A442,"="&amp;$A14,Concentrado!$B$2:$B442, "=Guanajuato")</f>
        <v>3096</v>
      </c>
      <c r="C14" s="11">
        <f>SUMIFS(Concentrado!D$2:D442,Concentrado!$A$2:$A442,"="&amp;$A14,Concentrado!$B$2:$B442, "=Guanajuato")</f>
        <v>3849</v>
      </c>
      <c r="D14" s="11">
        <f>SUMIFS(Concentrado!E$2:E442,Concentrado!$A$2:$A442,"="&amp;$A14,Concentrado!$B$2:$B442, "=Guanajuato")</f>
        <v>2575</v>
      </c>
      <c r="E14" s="11">
        <f>SUMIFS(Concentrado!F$2:F442,Concentrado!$A$2:$A442,"="&amp;$A14,Concentrado!$B$2:$B442, "=Guanajuato")</f>
        <v>186</v>
      </c>
      <c r="F14" s="11">
        <f>SUMIFS(Concentrado!G$2:G442,Concentrado!$A$2:$A442,"="&amp;$A14,Concentrado!$B$2:$B442, "=Guanajuato")</f>
        <v>79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zoomScale="112" zoomScaleNormal="112" workbookViewId="0">
      <selection activeCell="F14" sqref="F14"/>
    </sheetView>
  </sheetViews>
  <sheetFormatPr baseColWidth="10" defaultRowHeight="15" x14ac:dyDescent="0.25"/>
  <cols>
    <col min="1" max="1" width="12.140625" customWidth="1"/>
    <col min="2" max="2" width="13.28515625" bestFit="1" customWidth="1"/>
    <col min="3" max="3" width="12.42578125" bestFit="1" customWidth="1"/>
    <col min="4" max="4" width="19.140625" customWidth="1"/>
    <col min="5" max="5" width="12.28515625" bestFit="1" customWidth="1"/>
    <col min="6" max="6" width="12" bestFit="1" customWidth="1"/>
  </cols>
  <sheetData>
    <row r="1" spans="1:6" s="4" customFormat="1" ht="42.75" x14ac:dyDescent="0.2">
      <c r="A1" s="1" t="s">
        <v>0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</row>
    <row r="2" spans="1:6" x14ac:dyDescent="0.25">
      <c r="A2" s="8">
        <v>2012</v>
      </c>
      <c r="B2" s="11">
        <f>SUMIFS(Concentrado!C$2:C430,Concentrado!$A$2:$A430,"="&amp;$A2,Concentrado!$B$2:$B430, "=Guerrero")</f>
        <v>2233</v>
      </c>
      <c r="C2" s="11">
        <f>SUMIFS(Concentrado!D$2:D430,Concentrado!$A$2:$A430,"="&amp;$A2,Concentrado!$B$2:$B430, "=Guerrero")</f>
        <v>1807</v>
      </c>
      <c r="D2" s="11">
        <f>SUMIFS(Concentrado!E$2:E430,Concentrado!$A$2:$A430,"="&amp;$A2,Concentrado!$B$2:$B430, "=Guerrero")</f>
        <v>1624</v>
      </c>
      <c r="E2" s="11">
        <f>SUMIFS(Concentrado!F$2:F430,Concentrado!$A$2:$A430,"="&amp;$A2,Concentrado!$B$2:$B430, "=Guerrero")</f>
        <v>125</v>
      </c>
      <c r="F2" s="11">
        <f>SUMIFS(Concentrado!G$2:G430,Concentrado!$A$2:$A430,"="&amp;$A2,Concentrado!$B$2:$B430, "=Guerrero")</f>
        <v>105</v>
      </c>
    </row>
    <row r="3" spans="1:6" x14ac:dyDescent="0.25">
      <c r="A3" s="8">
        <v>2013</v>
      </c>
      <c r="B3" s="11">
        <f>SUMIFS(Concentrado!C$2:C431,Concentrado!$A$2:$A431,"="&amp;$A3,Concentrado!$B$2:$B431, "=Guerrero")</f>
        <v>2370</v>
      </c>
      <c r="C3" s="11">
        <f>SUMIFS(Concentrado!D$2:D431,Concentrado!$A$2:$A431,"="&amp;$A3,Concentrado!$B$2:$B431, "=Guerrero")</f>
        <v>1900</v>
      </c>
      <c r="D3" s="11">
        <f>SUMIFS(Concentrado!E$2:E431,Concentrado!$A$2:$A431,"="&amp;$A3,Concentrado!$B$2:$B431, "=Guerrero")</f>
        <v>1672</v>
      </c>
      <c r="E3" s="11">
        <f>SUMIFS(Concentrado!F$2:F431,Concentrado!$A$2:$A431,"="&amp;$A3,Concentrado!$B$2:$B431, "=Guerrero")</f>
        <v>141</v>
      </c>
      <c r="F3" s="11">
        <f>SUMIFS(Concentrado!G$2:G431,Concentrado!$A$2:$A431,"="&amp;$A3,Concentrado!$B$2:$B431, "=Guerrero")</f>
        <v>108</v>
      </c>
    </row>
    <row r="4" spans="1:6" x14ac:dyDescent="0.25">
      <c r="A4" s="8">
        <v>2014</v>
      </c>
      <c r="B4" s="11">
        <f>SUMIFS(Concentrado!C$2:C432,Concentrado!$A$2:$A432,"="&amp;$A4,Concentrado!$B$2:$B432, "=Guerrero")</f>
        <v>2400</v>
      </c>
      <c r="C4" s="11">
        <f>SUMIFS(Concentrado!D$2:D432,Concentrado!$A$2:$A432,"="&amp;$A4,Concentrado!$B$2:$B432, "=Guerrero")</f>
        <v>1864</v>
      </c>
      <c r="D4" s="11">
        <f>SUMIFS(Concentrado!E$2:E432,Concentrado!$A$2:$A432,"="&amp;$A4,Concentrado!$B$2:$B432, "=Guerrero")</f>
        <v>1742</v>
      </c>
      <c r="E4" s="11">
        <f>SUMIFS(Concentrado!F$2:F432,Concentrado!$A$2:$A432,"="&amp;$A4,Concentrado!$B$2:$B432, "=Guerrero")</f>
        <v>137</v>
      </c>
      <c r="F4" s="11">
        <f>SUMIFS(Concentrado!G$2:G432,Concentrado!$A$2:$A432,"="&amp;$A4,Concentrado!$B$2:$B432, "=Guerrero")</f>
        <v>82</v>
      </c>
    </row>
    <row r="5" spans="1:6" x14ac:dyDescent="0.25">
      <c r="A5" s="8">
        <v>2015</v>
      </c>
      <c r="B5" s="11">
        <f>SUMIFS(Concentrado!C$2:C433,Concentrado!$A$2:$A433,"="&amp;$A5,Concentrado!$B$2:$B433, "=Guerrero")</f>
        <v>2405</v>
      </c>
      <c r="C5" s="11">
        <f>SUMIFS(Concentrado!D$2:D433,Concentrado!$A$2:$A433,"="&amp;$A5,Concentrado!$B$2:$B433, "=Guerrero")</f>
        <v>1911</v>
      </c>
      <c r="D5" s="11">
        <f>SUMIFS(Concentrado!E$2:E433,Concentrado!$A$2:$A433,"="&amp;$A5,Concentrado!$B$2:$B433, "=Guerrero")</f>
        <v>2109</v>
      </c>
      <c r="E5" s="11">
        <f>SUMIFS(Concentrado!F$2:F433,Concentrado!$A$2:$A433,"="&amp;$A5,Concentrado!$B$2:$B433, "=Guerrero")</f>
        <v>133</v>
      </c>
      <c r="F5" s="11">
        <f>SUMIFS(Concentrado!G$2:G433,Concentrado!$A$2:$A433,"="&amp;$A5,Concentrado!$B$2:$B433, "=Guerrero")</f>
        <v>67</v>
      </c>
    </row>
    <row r="6" spans="1:6" x14ac:dyDescent="0.25">
      <c r="A6" s="8">
        <v>2016</v>
      </c>
      <c r="B6" s="11">
        <f>SUMIFS(Concentrado!C$2:C434,Concentrado!$A$2:$A434,"="&amp;$A6,Concentrado!$B$2:$B434, "=Guerrero")</f>
        <v>2485</v>
      </c>
      <c r="C6" s="11">
        <f>SUMIFS(Concentrado!D$2:D434,Concentrado!$A$2:$A434,"="&amp;$A6,Concentrado!$B$2:$B434, "=Guerrero")</f>
        <v>2074</v>
      </c>
      <c r="D6" s="11">
        <f>SUMIFS(Concentrado!E$2:E434,Concentrado!$A$2:$A434,"="&amp;$A6,Concentrado!$B$2:$B434, "=Guerrero")</f>
        <v>2120</v>
      </c>
      <c r="E6" s="11">
        <f>SUMIFS(Concentrado!F$2:F434,Concentrado!$A$2:$A434,"="&amp;$A6,Concentrado!$B$2:$B434, "=Guerrero")</f>
        <v>127</v>
      </c>
      <c r="F6" s="11">
        <f>SUMIFS(Concentrado!G$2:G434,Concentrado!$A$2:$A434,"="&amp;$A6,Concentrado!$B$2:$B434, "=Guerrero")</f>
        <v>69</v>
      </c>
    </row>
    <row r="7" spans="1:6" x14ac:dyDescent="0.25">
      <c r="A7" s="8">
        <v>2017</v>
      </c>
      <c r="B7" s="11">
        <f>SUMIFS(Concentrado!C$2:C435,Concentrado!$A$2:$A435,"="&amp;$A7,Concentrado!$B$2:$B435, "=Guerrero")</f>
        <v>2486</v>
      </c>
      <c r="C7" s="11">
        <f>SUMIFS(Concentrado!D$2:D435,Concentrado!$A$2:$A435,"="&amp;$A7,Concentrado!$B$2:$B435, "=Guerrero")</f>
        <v>1977</v>
      </c>
      <c r="D7" s="11">
        <f>SUMIFS(Concentrado!E$2:E435,Concentrado!$A$2:$A435,"="&amp;$A7,Concentrado!$B$2:$B435, "=Guerrero")</f>
        <v>2029</v>
      </c>
      <c r="E7" s="11">
        <f>SUMIFS(Concentrado!F$2:F435,Concentrado!$A$2:$A435,"="&amp;$A7,Concentrado!$B$2:$B435, "=Guerrero")</f>
        <v>109</v>
      </c>
      <c r="F7" s="11">
        <f>SUMIFS(Concentrado!G$2:G435,Concentrado!$A$2:$A435,"="&amp;$A7,Concentrado!$B$2:$B435, "=Guerrero")</f>
        <v>65</v>
      </c>
    </row>
    <row r="8" spans="1:6" x14ac:dyDescent="0.25">
      <c r="A8" s="8">
        <v>2018</v>
      </c>
      <c r="B8" s="11">
        <f>SUMIFS(Concentrado!C$2:C436,Concentrado!$A$2:$A436,"="&amp;$A8,Concentrado!$B$2:$B436, "=Guerrero")</f>
        <v>2576</v>
      </c>
      <c r="C8" s="11">
        <f>SUMIFS(Concentrado!D$2:D436,Concentrado!$A$2:$A436,"="&amp;$A8,Concentrado!$B$2:$B436, "=Guerrero")</f>
        <v>2075</v>
      </c>
      <c r="D8" s="11">
        <f>SUMIFS(Concentrado!E$2:E436,Concentrado!$A$2:$A436,"="&amp;$A8,Concentrado!$B$2:$B436, "=Guerrero")</f>
        <v>2260</v>
      </c>
      <c r="E8" s="11">
        <f>SUMIFS(Concentrado!F$2:F436,Concentrado!$A$2:$A436,"="&amp;$A8,Concentrado!$B$2:$B436, "=Guerrero")</f>
        <v>110</v>
      </c>
      <c r="F8" s="11">
        <f>SUMIFS(Concentrado!G$2:G436,Concentrado!$A$2:$A436,"="&amp;$A8,Concentrado!$B$2:$B436, "=Guerrero")</f>
        <v>67</v>
      </c>
    </row>
    <row r="9" spans="1:6" x14ac:dyDescent="0.25">
      <c r="A9" s="8">
        <v>2019</v>
      </c>
      <c r="B9" s="11">
        <f>SUMIFS(Concentrado!C$2:C437,Concentrado!$A$2:$A437,"="&amp;$A9,Concentrado!$B$2:$B437, "=Guerrero")</f>
        <v>2574</v>
      </c>
      <c r="C9" s="11">
        <f>SUMIFS(Concentrado!D$2:D437,Concentrado!$A$2:$A437,"="&amp;$A9,Concentrado!$B$2:$B437, "=Guerrero")</f>
        <v>1990</v>
      </c>
      <c r="D9" s="11">
        <f>SUMIFS(Concentrado!E$2:E437,Concentrado!$A$2:$A437,"="&amp;$A9,Concentrado!$B$2:$B437, "=Guerrero")</f>
        <v>2353</v>
      </c>
      <c r="E9" s="11">
        <f>SUMIFS(Concentrado!F$2:F437,Concentrado!$A$2:$A437,"="&amp;$A9,Concentrado!$B$2:$B437, "=Guerrero")</f>
        <v>114</v>
      </c>
      <c r="F9" s="11">
        <f>SUMIFS(Concentrado!G$2:G437,Concentrado!$A$2:$A437,"="&amp;$A9,Concentrado!$B$2:$B437, "=Guerrero")</f>
        <v>73</v>
      </c>
    </row>
    <row r="10" spans="1:6" x14ac:dyDescent="0.25">
      <c r="A10" s="8">
        <v>2020</v>
      </c>
      <c r="B10" s="11">
        <f>SUMIFS(Concentrado!C$2:C438,Concentrado!$A$2:$A438,"="&amp;$A10,Concentrado!$B$2:$B438, "=Guerrero")</f>
        <v>2571</v>
      </c>
      <c r="C10" s="11">
        <f>SUMIFS(Concentrado!D$2:D438,Concentrado!$A$2:$A438,"="&amp;$A10,Concentrado!$B$2:$B438, "=Guerrero")</f>
        <v>1960</v>
      </c>
      <c r="D10" s="11">
        <f>SUMIFS(Concentrado!E$2:E438,Concentrado!$A$2:$A438,"="&amp;$A10,Concentrado!$B$2:$B438, "=Guerrero")</f>
        <v>2354</v>
      </c>
      <c r="E10" s="11">
        <f>SUMIFS(Concentrado!F$2:F438,Concentrado!$A$2:$A438,"="&amp;$A10,Concentrado!$B$2:$B438, "=Guerrero")</f>
        <v>111</v>
      </c>
      <c r="F10" s="11">
        <f>SUMIFS(Concentrado!G$2:G438,Concentrado!$A$2:$A438,"="&amp;$A10,Concentrado!$B$2:$B438, "=Guerrero")</f>
        <v>71</v>
      </c>
    </row>
    <row r="11" spans="1:6" x14ac:dyDescent="0.25">
      <c r="A11" s="8">
        <v>2021</v>
      </c>
      <c r="B11" s="11">
        <f>SUMIFS(Concentrado!C$2:C439,Concentrado!$A$2:$A439,"="&amp;$A11,Concentrado!$B$2:$B439, "=Guerrero")</f>
        <v>2578</v>
      </c>
      <c r="C11" s="11">
        <f>SUMIFS(Concentrado!D$2:D439,Concentrado!$A$2:$A439,"="&amp;$A11,Concentrado!$B$2:$B439, "=Guerrero")</f>
        <v>1976</v>
      </c>
      <c r="D11" s="11">
        <f>SUMIFS(Concentrado!E$2:E439,Concentrado!$A$2:$A439,"="&amp;$A11,Concentrado!$B$2:$B439, "=Guerrero")</f>
        <v>2126</v>
      </c>
      <c r="E11" s="11">
        <f>SUMIFS(Concentrado!F$2:F439,Concentrado!$A$2:$A439,"="&amp;$A11,Concentrado!$B$2:$B439, "=Guerrero")</f>
        <v>110</v>
      </c>
      <c r="F11" s="11">
        <f>SUMIFS(Concentrado!G$2:G439,Concentrado!$A$2:$A439,"="&amp;$A11,Concentrado!$B$2:$B439, "=Guerrero")</f>
        <v>71</v>
      </c>
    </row>
    <row r="12" spans="1:6" x14ac:dyDescent="0.25">
      <c r="A12" s="8">
        <v>2022</v>
      </c>
      <c r="B12" s="11">
        <f>SUMIFS(Concentrado!C$2:C440,Concentrado!$A$2:$A440,"="&amp;$A12,Concentrado!$B$2:$B440, "=Guerrero")</f>
        <v>2758</v>
      </c>
      <c r="C12" s="11">
        <f>SUMIFS(Concentrado!D$2:D440,Concentrado!$A$2:$A440,"="&amp;$A12,Concentrado!$B$2:$B440, "=Guerrero")</f>
        <v>2043</v>
      </c>
      <c r="D12" s="11">
        <f>SUMIFS(Concentrado!E$2:E440,Concentrado!$A$2:$A440,"="&amp;$A12,Concentrado!$B$2:$B440, "=Guerrero")</f>
        <v>1130</v>
      </c>
      <c r="E12" s="11">
        <f>SUMIFS(Concentrado!F$2:F440,Concentrado!$A$2:$A440,"="&amp;$A12,Concentrado!$B$2:$B440, "=Guerrero")</f>
        <v>113</v>
      </c>
      <c r="F12" s="11">
        <f>SUMIFS(Concentrado!G$2:G440,Concentrado!$A$2:$A440,"="&amp;$A12,Concentrado!$B$2:$B440, "=Guerrero")</f>
        <v>71</v>
      </c>
    </row>
    <row r="13" spans="1:6" x14ac:dyDescent="0.25">
      <c r="A13" s="8">
        <v>2023</v>
      </c>
      <c r="B13" s="11">
        <f>SUMIFS(Concentrado!C$2:C441,Concentrado!$A$2:$A441,"="&amp;$A13,Concentrado!$B$2:$B441, "=Guerrero")</f>
        <v>2796</v>
      </c>
      <c r="C13" s="11">
        <f>SUMIFS(Concentrado!D$2:D441,Concentrado!$A$2:$A441,"="&amp;$A13,Concentrado!$B$2:$B441, "=Guerrero")</f>
        <v>2081</v>
      </c>
      <c r="D13" s="11">
        <f>SUMIFS(Concentrado!E$2:E441,Concentrado!$A$2:$A441,"="&amp;$A13,Concentrado!$B$2:$B441, "=Guerrero")</f>
        <v>1168</v>
      </c>
      <c r="E13" s="11">
        <f>SUMIFS(Concentrado!F$2:F441,Concentrado!$A$2:$A441,"="&amp;$A13,Concentrado!$B$2:$B441, "=Guerrero")</f>
        <v>108</v>
      </c>
      <c r="F13" s="11">
        <f>SUMIFS(Concentrado!G$2:G441,Concentrado!$A$2:$A441,"="&amp;$A13,Concentrado!$B$2:$B441, "=Guerrero")</f>
        <v>74</v>
      </c>
    </row>
    <row r="14" spans="1:6" x14ac:dyDescent="0.25">
      <c r="A14" s="8">
        <v>2024</v>
      </c>
      <c r="B14" s="11">
        <f>SUMIFS(Concentrado!C$2:C442,Concentrado!$A$2:$A442,"="&amp;$A14,Concentrado!$B$2:$B442, "=Guerrero")</f>
        <v>3305</v>
      </c>
      <c r="C14" s="11">
        <f>SUMIFS(Concentrado!D$2:D442,Concentrado!$A$2:$A442,"="&amp;$A14,Concentrado!$B$2:$B442, "=Guerrero")</f>
        <v>2073</v>
      </c>
      <c r="D14" s="11">
        <f>SUMIFS(Concentrado!E$2:E442,Concentrado!$A$2:$A442,"="&amp;$A14,Concentrado!$B$2:$B442, "=Guerrero")</f>
        <v>1824</v>
      </c>
      <c r="E14" s="11">
        <f>SUMIFS(Concentrado!F$2:F442,Concentrado!$A$2:$A442,"="&amp;$A14,Concentrado!$B$2:$B442, "=Guerrero")</f>
        <v>124</v>
      </c>
      <c r="F14" s="11">
        <f>SUMIFS(Concentrado!G$2:G442,Concentrado!$A$2:$A442,"="&amp;$A14,Concentrado!$B$2:$B442, "=Guerrero")</f>
        <v>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zoomScale="112" zoomScaleNormal="112" workbookViewId="0">
      <selection activeCell="F14" sqref="F14"/>
    </sheetView>
  </sheetViews>
  <sheetFormatPr baseColWidth="10" defaultRowHeight="15" x14ac:dyDescent="0.25"/>
  <cols>
    <col min="1" max="1" width="12.140625" customWidth="1"/>
    <col min="2" max="2" width="13.28515625" bestFit="1" customWidth="1"/>
    <col min="3" max="3" width="12.42578125" bestFit="1" customWidth="1"/>
    <col min="4" max="4" width="19.140625" customWidth="1"/>
    <col min="5" max="5" width="12.28515625" bestFit="1" customWidth="1"/>
    <col min="6" max="6" width="12" bestFit="1" customWidth="1"/>
  </cols>
  <sheetData>
    <row r="1" spans="1:6" s="4" customFormat="1" ht="42.75" x14ac:dyDescent="0.2">
      <c r="A1" s="1" t="s">
        <v>0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</row>
    <row r="2" spans="1:6" x14ac:dyDescent="0.25">
      <c r="A2" s="8">
        <v>2012</v>
      </c>
      <c r="B2" s="11">
        <f>SUMIFS(Concentrado!C$2:C430,Concentrado!$A$2:$A430,"="&amp;$A2,Concentrado!$B$2:$B430, "=Hidalgo")</f>
        <v>1950</v>
      </c>
      <c r="C2" s="11">
        <f>SUMIFS(Concentrado!D$2:D430,Concentrado!$A$2:$A430,"="&amp;$A2,Concentrado!$B$2:$B430, "=Hidalgo")</f>
        <v>1320</v>
      </c>
      <c r="D2" s="11">
        <f>SUMIFS(Concentrado!E$2:E430,Concentrado!$A$2:$A430,"="&amp;$A2,Concentrado!$B$2:$B430, "=Hidalgo")</f>
        <v>1941</v>
      </c>
      <c r="E2" s="11">
        <f>SUMIFS(Concentrado!F$2:F430,Concentrado!$A$2:$A430,"="&amp;$A2,Concentrado!$B$2:$B430, "=Hidalgo")</f>
        <v>48</v>
      </c>
      <c r="F2" s="11">
        <f>SUMIFS(Concentrado!G$2:G430,Concentrado!$A$2:$A430,"="&amp;$A2,Concentrado!$B$2:$B430, "=Hidalgo")</f>
        <v>74</v>
      </c>
    </row>
    <row r="3" spans="1:6" x14ac:dyDescent="0.25">
      <c r="A3" s="8">
        <v>2013</v>
      </c>
      <c r="B3" s="11">
        <f>SUMIFS(Concentrado!C$2:C431,Concentrado!$A$2:$A431,"="&amp;$A3,Concentrado!$B$2:$B431, "=Hidalgo")</f>
        <v>1931</v>
      </c>
      <c r="C3" s="11">
        <f>SUMIFS(Concentrado!D$2:D431,Concentrado!$A$2:$A431,"="&amp;$A3,Concentrado!$B$2:$B431, "=Hidalgo")</f>
        <v>1311</v>
      </c>
      <c r="D3" s="11">
        <f>SUMIFS(Concentrado!E$2:E431,Concentrado!$A$2:$A431,"="&amp;$A3,Concentrado!$B$2:$B431, "=Hidalgo")</f>
        <v>1929</v>
      </c>
      <c r="E3" s="11">
        <f>SUMIFS(Concentrado!F$2:F431,Concentrado!$A$2:$A431,"="&amp;$A3,Concentrado!$B$2:$B431, "=Hidalgo")</f>
        <v>56</v>
      </c>
      <c r="F3" s="11">
        <f>SUMIFS(Concentrado!G$2:G431,Concentrado!$A$2:$A431,"="&amp;$A3,Concentrado!$B$2:$B431, "=Hidalgo")</f>
        <v>71</v>
      </c>
    </row>
    <row r="4" spans="1:6" x14ac:dyDescent="0.25">
      <c r="A4" s="8">
        <v>2014</v>
      </c>
      <c r="B4" s="11">
        <f>SUMIFS(Concentrado!C$2:C432,Concentrado!$A$2:$A432,"="&amp;$A4,Concentrado!$B$2:$B432, "=Hidalgo")</f>
        <v>1939</v>
      </c>
      <c r="C4" s="11">
        <f>SUMIFS(Concentrado!D$2:D432,Concentrado!$A$2:$A432,"="&amp;$A4,Concentrado!$B$2:$B432, "=Hidalgo")</f>
        <v>1347</v>
      </c>
      <c r="D4" s="11">
        <f>SUMIFS(Concentrado!E$2:E432,Concentrado!$A$2:$A432,"="&amp;$A4,Concentrado!$B$2:$B432, "=Hidalgo")</f>
        <v>1732</v>
      </c>
      <c r="E4" s="11">
        <f>SUMIFS(Concentrado!F$2:F432,Concentrado!$A$2:$A432,"="&amp;$A4,Concentrado!$B$2:$B432, "=Hidalgo")</f>
        <v>57</v>
      </c>
      <c r="F4" s="11">
        <f>SUMIFS(Concentrado!G$2:G432,Concentrado!$A$2:$A432,"="&amp;$A4,Concentrado!$B$2:$B432, "=Hidalgo")</f>
        <v>55</v>
      </c>
    </row>
    <row r="5" spans="1:6" x14ac:dyDescent="0.25">
      <c r="A5" s="8">
        <v>2015</v>
      </c>
      <c r="B5" s="11">
        <f>SUMIFS(Concentrado!C$2:C433,Concentrado!$A$2:$A433,"="&amp;$A5,Concentrado!$B$2:$B433, "=Hidalgo")</f>
        <v>1946</v>
      </c>
      <c r="C5" s="11">
        <f>SUMIFS(Concentrado!D$2:D433,Concentrado!$A$2:$A433,"="&amp;$A5,Concentrado!$B$2:$B433, "=Hidalgo")</f>
        <v>1349</v>
      </c>
      <c r="D5" s="11">
        <f>SUMIFS(Concentrado!E$2:E433,Concentrado!$A$2:$A433,"="&amp;$A5,Concentrado!$B$2:$B433, "=Hidalgo")</f>
        <v>1330</v>
      </c>
      <c r="E5" s="11">
        <f>SUMIFS(Concentrado!F$2:F433,Concentrado!$A$2:$A433,"="&amp;$A5,Concentrado!$B$2:$B433, "=Hidalgo")</f>
        <v>62</v>
      </c>
      <c r="F5" s="11">
        <f>SUMIFS(Concentrado!G$2:G433,Concentrado!$A$2:$A433,"="&amp;$A5,Concentrado!$B$2:$B433, "=Hidalgo")</f>
        <v>55</v>
      </c>
    </row>
    <row r="6" spans="1:6" x14ac:dyDescent="0.25">
      <c r="A6" s="8">
        <v>2016</v>
      </c>
      <c r="B6" s="11">
        <f>SUMIFS(Concentrado!C$2:C434,Concentrado!$A$2:$A434,"="&amp;$A6,Concentrado!$B$2:$B434, "=Hidalgo")</f>
        <v>1946</v>
      </c>
      <c r="C6" s="11">
        <f>SUMIFS(Concentrado!D$2:D434,Concentrado!$A$2:$A434,"="&amp;$A6,Concentrado!$B$2:$B434, "=Hidalgo")</f>
        <v>1370</v>
      </c>
      <c r="D6" s="11">
        <f>SUMIFS(Concentrado!E$2:E434,Concentrado!$A$2:$A434,"="&amp;$A6,Concentrado!$B$2:$B434, "=Hidalgo")</f>
        <v>1480</v>
      </c>
      <c r="E6" s="11">
        <f>SUMIFS(Concentrado!F$2:F434,Concentrado!$A$2:$A434,"="&amp;$A6,Concentrado!$B$2:$B434, "=Hidalgo")</f>
        <v>63</v>
      </c>
      <c r="F6" s="11">
        <f>SUMIFS(Concentrado!G$2:G434,Concentrado!$A$2:$A434,"="&amp;$A6,Concentrado!$B$2:$B434, "=Hidalgo")</f>
        <v>69</v>
      </c>
    </row>
    <row r="7" spans="1:6" x14ac:dyDescent="0.25">
      <c r="A7" s="8">
        <v>2017</v>
      </c>
      <c r="B7" s="11">
        <f>SUMIFS(Concentrado!C$2:C435,Concentrado!$A$2:$A435,"="&amp;$A7,Concentrado!$B$2:$B435, "=Hidalgo")</f>
        <v>1971</v>
      </c>
      <c r="C7" s="11">
        <f>SUMIFS(Concentrado!D$2:D435,Concentrado!$A$2:$A435,"="&amp;$A7,Concentrado!$B$2:$B435, "=Hidalgo")</f>
        <v>1399</v>
      </c>
      <c r="D7" s="11">
        <f>SUMIFS(Concentrado!E$2:E435,Concentrado!$A$2:$A435,"="&amp;$A7,Concentrado!$B$2:$B435, "=Hidalgo")</f>
        <v>1422</v>
      </c>
      <c r="E7" s="11">
        <f>SUMIFS(Concentrado!F$2:F435,Concentrado!$A$2:$A435,"="&amp;$A7,Concentrado!$B$2:$B435, "=Hidalgo")</f>
        <v>63</v>
      </c>
      <c r="F7" s="11">
        <f>SUMIFS(Concentrado!G$2:G435,Concentrado!$A$2:$A435,"="&amp;$A7,Concentrado!$B$2:$B435, "=Hidalgo")</f>
        <v>72</v>
      </c>
    </row>
    <row r="8" spans="1:6" x14ac:dyDescent="0.25">
      <c r="A8" s="8">
        <v>2018</v>
      </c>
      <c r="B8" s="11">
        <f>SUMIFS(Concentrado!C$2:C436,Concentrado!$A$2:$A436,"="&amp;$A8,Concentrado!$B$2:$B436, "=Hidalgo")</f>
        <v>1982</v>
      </c>
      <c r="C8" s="11">
        <f>SUMIFS(Concentrado!D$2:D436,Concentrado!$A$2:$A436,"="&amp;$A8,Concentrado!$B$2:$B436, "=Hidalgo")</f>
        <v>1367</v>
      </c>
      <c r="D8" s="11">
        <f>SUMIFS(Concentrado!E$2:E436,Concentrado!$A$2:$A436,"="&amp;$A8,Concentrado!$B$2:$B436, "=Hidalgo")</f>
        <v>1355</v>
      </c>
      <c r="E8" s="11">
        <f>SUMIFS(Concentrado!F$2:F436,Concentrado!$A$2:$A436,"="&amp;$A8,Concentrado!$B$2:$B436, "=Hidalgo")</f>
        <v>62</v>
      </c>
      <c r="F8" s="11">
        <f>SUMIFS(Concentrado!G$2:G436,Concentrado!$A$2:$A436,"="&amp;$A8,Concentrado!$B$2:$B436, "=Hidalgo")</f>
        <v>77</v>
      </c>
    </row>
    <row r="9" spans="1:6" x14ac:dyDescent="0.25">
      <c r="A9" s="8">
        <v>2019</v>
      </c>
      <c r="B9" s="11">
        <f>SUMIFS(Concentrado!C$2:C437,Concentrado!$A$2:$A437,"="&amp;$A9,Concentrado!$B$2:$B437, "=Hidalgo")</f>
        <v>1980</v>
      </c>
      <c r="C9" s="11">
        <f>SUMIFS(Concentrado!D$2:D437,Concentrado!$A$2:$A437,"="&amp;$A9,Concentrado!$B$2:$B437, "=Hidalgo")</f>
        <v>1377</v>
      </c>
      <c r="D9" s="11">
        <f>SUMIFS(Concentrado!E$2:E437,Concentrado!$A$2:$A437,"="&amp;$A9,Concentrado!$B$2:$B437, "=Hidalgo")</f>
        <v>1355</v>
      </c>
      <c r="E9" s="11">
        <f>SUMIFS(Concentrado!F$2:F437,Concentrado!$A$2:$A437,"="&amp;$A9,Concentrado!$B$2:$B437, "=Hidalgo")</f>
        <v>61</v>
      </c>
      <c r="F9" s="11">
        <f>SUMIFS(Concentrado!G$2:G437,Concentrado!$A$2:$A437,"="&amp;$A9,Concentrado!$B$2:$B437, "=Hidalgo")</f>
        <v>104</v>
      </c>
    </row>
    <row r="10" spans="1:6" x14ac:dyDescent="0.25">
      <c r="A10" s="8">
        <v>2020</v>
      </c>
      <c r="B10" s="11">
        <f>SUMIFS(Concentrado!C$2:C438,Concentrado!$A$2:$A438,"="&amp;$A10,Concentrado!$B$2:$B438, "=Hidalgo")</f>
        <v>2090</v>
      </c>
      <c r="C10" s="11">
        <f>SUMIFS(Concentrado!D$2:D438,Concentrado!$A$2:$A438,"="&amp;$A10,Concentrado!$B$2:$B438, "=Hidalgo")</f>
        <v>1530</v>
      </c>
      <c r="D10" s="11">
        <f>SUMIFS(Concentrado!E$2:E438,Concentrado!$A$2:$A438,"="&amp;$A10,Concentrado!$B$2:$B438, "=Hidalgo")</f>
        <v>1502</v>
      </c>
      <c r="E10" s="11">
        <f>SUMIFS(Concentrado!F$2:F438,Concentrado!$A$2:$A438,"="&amp;$A10,Concentrado!$B$2:$B438, "=Hidalgo")</f>
        <v>61</v>
      </c>
      <c r="F10" s="11">
        <f>SUMIFS(Concentrado!G$2:G438,Concentrado!$A$2:$A438,"="&amp;$A10,Concentrado!$B$2:$B438, "=Hidalgo")</f>
        <v>103</v>
      </c>
    </row>
    <row r="11" spans="1:6" x14ac:dyDescent="0.25">
      <c r="A11" s="8">
        <v>2021</v>
      </c>
      <c r="B11" s="11">
        <f>SUMIFS(Concentrado!C$2:C439,Concentrado!$A$2:$A439,"="&amp;$A11,Concentrado!$B$2:$B439, "=Hidalgo")</f>
        <v>2058</v>
      </c>
      <c r="C11" s="11">
        <f>SUMIFS(Concentrado!D$2:D439,Concentrado!$A$2:$A439,"="&amp;$A11,Concentrado!$B$2:$B439, "=Hidalgo")</f>
        <v>1717</v>
      </c>
      <c r="D11" s="11">
        <f>SUMIFS(Concentrado!E$2:E439,Concentrado!$A$2:$A439,"="&amp;$A11,Concentrado!$B$2:$B439, "=Hidalgo")</f>
        <v>1554</v>
      </c>
      <c r="E11" s="11">
        <f>SUMIFS(Concentrado!F$2:F439,Concentrado!$A$2:$A439,"="&amp;$A11,Concentrado!$B$2:$B439, "=Hidalgo")</f>
        <v>61</v>
      </c>
      <c r="F11" s="11">
        <f>SUMIFS(Concentrado!G$2:G439,Concentrado!$A$2:$A439,"="&amp;$A11,Concentrado!$B$2:$B439, "=Hidalgo")</f>
        <v>100</v>
      </c>
    </row>
    <row r="12" spans="1:6" x14ac:dyDescent="0.25">
      <c r="A12" s="8">
        <v>2022</v>
      </c>
      <c r="B12" s="11">
        <f>SUMIFS(Concentrado!C$2:C440,Concentrado!$A$2:$A440,"="&amp;$A12,Concentrado!$B$2:$B440, "=Hidalgo")</f>
        <v>2087</v>
      </c>
      <c r="C12" s="11">
        <f>SUMIFS(Concentrado!D$2:D440,Concentrado!$A$2:$A440,"="&amp;$A12,Concentrado!$B$2:$B440, "=Hidalgo")</f>
        <v>1666</v>
      </c>
      <c r="D12" s="11">
        <f>SUMIFS(Concentrado!E$2:E440,Concentrado!$A$2:$A440,"="&amp;$A12,Concentrado!$B$2:$B440, "=Hidalgo")</f>
        <v>1498</v>
      </c>
      <c r="E12" s="11">
        <f>SUMIFS(Concentrado!F$2:F440,Concentrado!$A$2:$A440,"="&amp;$A12,Concentrado!$B$2:$B440, "=Hidalgo")</f>
        <v>70</v>
      </c>
      <c r="F12" s="11">
        <f>SUMIFS(Concentrado!G$2:G440,Concentrado!$A$2:$A440,"="&amp;$A12,Concentrado!$B$2:$B440, "=Hidalgo")</f>
        <v>41</v>
      </c>
    </row>
    <row r="13" spans="1:6" x14ac:dyDescent="0.25">
      <c r="A13" s="8">
        <v>2023</v>
      </c>
      <c r="B13" s="11">
        <f>SUMIFS(Concentrado!C$2:C441,Concentrado!$A$2:$A441,"="&amp;$A13,Concentrado!$B$2:$B441, "=Hidalgo")</f>
        <v>2234</v>
      </c>
      <c r="C13" s="11">
        <f>SUMIFS(Concentrado!D$2:D441,Concentrado!$A$2:$A441,"="&amp;$A13,Concentrado!$B$2:$B441, "=Hidalgo")</f>
        <v>1671</v>
      </c>
      <c r="D13" s="11">
        <f>SUMIFS(Concentrado!E$2:E441,Concentrado!$A$2:$A441,"="&amp;$A13,Concentrado!$B$2:$B441, "=Hidalgo")</f>
        <v>1437</v>
      </c>
      <c r="E13" s="11">
        <f>SUMIFS(Concentrado!F$2:F441,Concentrado!$A$2:$A441,"="&amp;$A13,Concentrado!$B$2:$B441, "=Hidalgo")</f>
        <v>70</v>
      </c>
      <c r="F13" s="11">
        <f>SUMIFS(Concentrado!G$2:G441,Concentrado!$A$2:$A441,"="&amp;$A13,Concentrado!$B$2:$B441, "=Hidalgo")</f>
        <v>92</v>
      </c>
    </row>
    <row r="14" spans="1:6" x14ac:dyDescent="0.25">
      <c r="A14" s="8">
        <v>2024</v>
      </c>
      <c r="B14" s="11">
        <f>SUMIFS(Concentrado!C$2:C442,Concentrado!$A$2:$A442,"="&amp;$A14,Concentrado!$B$2:$B442, "=Hidalgo")</f>
        <v>2431</v>
      </c>
      <c r="C14" s="11">
        <f>SUMIFS(Concentrado!D$2:D442,Concentrado!$A$2:$A442,"="&amp;$A14,Concentrado!$B$2:$B442, "=Hidalgo")</f>
        <v>1628</v>
      </c>
      <c r="D14" s="11">
        <f>SUMIFS(Concentrado!E$2:E442,Concentrado!$A$2:$A442,"="&amp;$A14,Concentrado!$B$2:$B442, "=Hidalgo")</f>
        <v>1453</v>
      </c>
      <c r="E14" s="11">
        <f>SUMIFS(Concentrado!F$2:F442,Concentrado!$A$2:$A442,"="&amp;$A14,Concentrado!$B$2:$B442, "=Hidalgo")</f>
        <v>81</v>
      </c>
      <c r="F14" s="11">
        <f>SUMIFS(Concentrado!G$2:G442,Concentrado!$A$2:$A442,"="&amp;$A14,Concentrado!$B$2:$B442, "=Hidalgo")</f>
        <v>63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zoomScale="112" zoomScaleNormal="112" workbookViewId="0">
      <selection activeCell="F14" sqref="F14"/>
    </sheetView>
  </sheetViews>
  <sheetFormatPr baseColWidth="10" defaultRowHeight="15" x14ac:dyDescent="0.25"/>
  <cols>
    <col min="1" max="1" width="12.140625" customWidth="1"/>
    <col min="2" max="2" width="13.28515625" bestFit="1" customWidth="1"/>
    <col min="3" max="3" width="12.42578125" bestFit="1" customWidth="1"/>
    <col min="4" max="4" width="19.140625" customWidth="1"/>
    <col min="5" max="5" width="12.28515625" bestFit="1" customWidth="1"/>
    <col min="6" max="6" width="12" bestFit="1" customWidth="1"/>
  </cols>
  <sheetData>
    <row r="1" spans="1:6" s="4" customFormat="1" ht="42.75" x14ac:dyDescent="0.2">
      <c r="A1" s="1" t="s">
        <v>0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</row>
    <row r="2" spans="1:6" x14ac:dyDescent="0.25">
      <c r="A2" s="8">
        <v>2012</v>
      </c>
      <c r="B2" s="11">
        <f>SUMIFS(Concentrado!C$2:C430,Concentrado!$A$2:$A430,"="&amp;$A2,Concentrado!$B$2:$B430, "=Jalisco")</f>
        <v>3885</v>
      </c>
      <c r="C2" s="11">
        <f>SUMIFS(Concentrado!D$2:D430,Concentrado!$A$2:$A430,"="&amp;$A2,Concentrado!$B$2:$B430, "=Jalisco")</f>
        <v>6406</v>
      </c>
      <c r="D2" s="11">
        <f>SUMIFS(Concentrado!E$2:E430,Concentrado!$A$2:$A430,"="&amp;$A2,Concentrado!$B$2:$B430, "=Jalisco")</f>
        <v>3005</v>
      </c>
      <c r="E2" s="11">
        <f>SUMIFS(Concentrado!F$2:F430,Concentrado!$A$2:$A430,"="&amp;$A2,Concentrado!$B$2:$B430, "=Jalisco")</f>
        <v>226</v>
      </c>
      <c r="F2" s="11">
        <f>SUMIFS(Concentrado!G$2:G430,Concentrado!$A$2:$A430,"="&amp;$A2,Concentrado!$B$2:$B430, "=Jalisco")</f>
        <v>119</v>
      </c>
    </row>
    <row r="3" spans="1:6" x14ac:dyDescent="0.25">
      <c r="A3" s="8">
        <v>2013</v>
      </c>
      <c r="B3" s="11">
        <f>SUMIFS(Concentrado!C$2:C431,Concentrado!$A$2:$A431,"="&amp;$A3,Concentrado!$B$2:$B431, "=Jalisco")</f>
        <v>4017</v>
      </c>
      <c r="C3" s="11">
        <f>SUMIFS(Concentrado!D$2:D431,Concentrado!$A$2:$A431,"="&amp;$A3,Concentrado!$B$2:$B431, "=Jalisco")</f>
        <v>6413</v>
      </c>
      <c r="D3" s="11">
        <f>SUMIFS(Concentrado!E$2:E431,Concentrado!$A$2:$A431,"="&amp;$A3,Concentrado!$B$2:$B431, "=Jalisco")</f>
        <v>3389</v>
      </c>
      <c r="E3" s="11">
        <f>SUMIFS(Concentrado!F$2:F431,Concentrado!$A$2:$A431,"="&amp;$A3,Concentrado!$B$2:$B431, "=Jalisco")</f>
        <v>247</v>
      </c>
      <c r="F3" s="11">
        <f>SUMIFS(Concentrado!G$2:G431,Concentrado!$A$2:$A431,"="&amp;$A3,Concentrado!$B$2:$B431, "=Jalisco")</f>
        <v>119</v>
      </c>
    </row>
    <row r="4" spans="1:6" x14ac:dyDescent="0.25">
      <c r="A4" s="8">
        <v>2014</v>
      </c>
      <c r="B4" s="11">
        <f>SUMIFS(Concentrado!C$2:C432,Concentrado!$A$2:$A432,"="&amp;$A4,Concentrado!$B$2:$B432, "=Jalisco")</f>
        <v>4149</v>
      </c>
      <c r="C4" s="11">
        <f>SUMIFS(Concentrado!D$2:D432,Concentrado!$A$2:$A432,"="&amp;$A4,Concentrado!$B$2:$B432, "=Jalisco")</f>
        <v>6435</v>
      </c>
      <c r="D4" s="11">
        <f>SUMIFS(Concentrado!E$2:E432,Concentrado!$A$2:$A432,"="&amp;$A4,Concentrado!$B$2:$B432, "=Jalisco")</f>
        <v>3558</v>
      </c>
      <c r="E4" s="11">
        <f>SUMIFS(Concentrado!F$2:F432,Concentrado!$A$2:$A432,"="&amp;$A4,Concentrado!$B$2:$B432, "=Jalisco")</f>
        <v>249</v>
      </c>
      <c r="F4" s="11">
        <f>SUMIFS(Concentrado!G$2:G432,Concentrado!$A$2:$A432,"="&amp;$A4,Concentrado!$B$2:$B432, "=Jalisco")</f>
        <v>113</v>
      </c>
    </row>
    <row r="5" spans="1:6" x14ac:dyDescent="0.25">
      <c r="A5" s="8">
        <v>2015</v>
      </c>
      <c r="B5" s="11">
        <f>SUMIFS(Concentrado!C$2:C433,Concentrado!$A$2:$A433,"="&amp;$A5,Concentrado!$B$2:$B433, "=Jalisco")</f>
        <v>3197</v>
      </c>
      <c r="C5" s="11">
        <f>SUMIFS(Concentrado!D$2:D433,Concentrado!$A$2:$A433,"="&amp;$A5,Concentrado!$B$2:$B433, "=Jalisco")</f>
        <v>5965</v>
      </c>
      <c r="D5" s="11">
        <f>SUMIFS(Concentrado!E$2:E433,Concentrado!$A$2:$A433,"="&amp;$A5,Concentrado!$B$2:$B433, "=Jalisco")</f>
        <v>3182</v>
      </c>
      <c r="E5" s="11">
        <f>SUMIFS(Concentrado!F$2:F433,Concentrado!$A$2:$A433,"="&amp;$A5,Concentrado!$B$2:$B433, "=Jalisco")</f>
        <v>259</v>
      </c>
      <c r="F5" s="11">
        <f>SUMIFS(Concentrado!G$2:G433,Concentrado!$A$2:$A433,"="&amp;$A5,Concentrado!$B$2:$B433, "=Jalisco")</f>
        <v>108</v>
      </c>
    </row>
    <row r="6" spans="1:6" x14ac:dyDescent="0.25">
      <c r="A6" s="8">
        <v>2016</v>
      </c>
      <c r="B6" s="11">
        <f>SUMIFS(Concentrado!C$2:C434,Concentrado!$A$2:$A434,"="&amp;$A6,Concentrado!$B$2:$B434, "=Jalisco")</f>
        <v>4295</v>
      </c>
      <c r="C6" s="11">
        <f>SUMIFS(Concentrado!D$2:D434,Concentrado!$A$2:$A434,"="&amp;$A6,Concentrado!$B$2:$B434, "=Jalisco")</f>
        <v>6476</v>
      </c>
      <c r="D6" s="11">
        <f>SUMIFS(Concentrado!E$2:E434,Concentrado!$A$2:$A434,"="&amp;$A6,Concentrado!$B$2:$B434, "=Jalisco")</f>
        <v>3092</v>
      </c>
      <c r="E6" s="11">
        <f>SUMIFS(Concentrado!F$2:F434,Concentrado!$A$2:$A434,"="&amp;$A6,Concentrado!$B$2:$B434, "=Jalisco")</f>
        <v>261</v>
      </c>
      <c r="F6" s="11">
        <f>SUMIFS(Concentrado!G$2:G434,Concentrado!$A$2:$A434,"="&amp;$A6,Concentrado!$B$2:$B434, "=Jalisco")</f>
        <v>123</v>
      </c>
    </row>
    <row r="7" spans="1:6" x14ac:dyDescent="0.25">
      <c r="A7" s="8">
        <v>2017</v>
      </c>
      <c r="B7" s="11">
        <f>SUMIFS(Concentrado!C$2:C435,Concentrado!$A$2:$A435,"="&amp;$A7,Concentrado!$B$2:$B435, "=Jalisco")</f>
        <v>4273</v>
      </c>
      <c r="C7" s="11">
        <f>SUMIFS(Concentrado!D$2:D435,Concentrado!$A$2:$A435,"="&amp;$A7,Concentrado!$B$2:$B435, "=Jalisco")</f>
        <v>6487</v>
      </c>
      <c r="D7" s="11">
        <f>SUMIFS(Concentrado!E$2:E435,Concentrado!$A$2:$A435,"="&amp;$A7,Concentrado!$B$2:$B435, "=Jalisco")</f>
        <v>3045</v>
      </c>
      <c r="E7" s="11">
        <f>SUMIFS(Concentrado!F$2:F435,Concentrado!$A$2:$A435,"="&amp;$A7,Concentrado!$B$2:$B435, "=Jalisco")</f>
        <v>268</v>
      </c>
      <c r="F7" s="11">
        <f>SUMIFS(Concentrado!G$2:G435,Concentrado!$A$2:$A435,"="&amp;$A7,Concentrado!$B$2:$B435, "=Jalisco")</f>
        <v>109</v>
      </c>
    </row>
    <row r="8" spans="1:6" x14ac:dyDescent="0.25">
      <c r="A8" s="8">
        <v>2018</v>
      </c>
      <c r="B8" s="11">
        <f>SUMIFS(Concentrado!C$2:C436,Concentrado!$A$2:$A436,"="&amp;$A8,Concentrado!$B$2:$B436, "=Jalisco")</f>
        <v>4300</v>
      </c>
      <c r="C8" s="11">
        <f>SUMIFS(Concentrado!D$2:D436,Concentrado!$A$2:$A436,"="&amp;$A8,Concentrado!$B$2:$B436, "=Jalisco")</f>
        <v>6460</v>
      </c>
      <c r="D8" s="11">
        <f>SUMIFS(Concentrado!E$2:E436,Concentrado!$A$2:$A436,"="&amp;$A8,Concentrado!$B$2:$B436, "=Jalisco")</f>
        <v>2975</v>
      </c>
      <c r="E8" s="11">
        <f>SUMIFS(Concentrado!F$2:F436,Concentrado!$A$2:$A436,"="&amp;$A8,Concentrado!$B$2:$B436, "=Jalisco")</f>
        <v>263</v>
      </c>
      <c r="F8" s="11">
        <f>SUMIFS(Concentrado!G$2:G436,Concentrado!$A$2:$A436,"="&amp;$A8,Concentrado!$B$2:$B436, "=Jalisco")</f>
        <v>109</v>
      </c>
    </row>
    <row r="9" spans="1:6" x14ac:dyDescent="0.25">
      <c r="A9" s="8">
        <v>2019</v>
      </c>
      <c r="B9" s="11">
        <f>SUMIFS(Concentrado!C$2:C437,Concentrado!$A$2:$A437,"="&amp;$A9,Concentrado!$B$2:$B437, "=Jalisco")</f>
        <v>4277</v>
      </c>
      <c r="C9" s="11">
        <f>SUMIFS(Concentrado!D$2:D437,Concentrado!$A$2:$A437,"="&amp;$A9,Concentrado!$B$2:$B437, "=Jalisco")</f>
        <v>6494</v>
      </c>
      <c r="D9" s="11">
        <f>SUMIFS(Concentrado!E$2:E437,Concentrado!$A$2:$A437,"="&amp;$A9,Concentrado!$B$2:$B437, "=Jalisco")</f>
        <v>2951</v>
      </c>
      <c r="E9" s="11">
        <f>SUMIFS(Concentrado!F$2:F437,Concentrado!$A$2:$A437,"="&amp;$A9,Concentrado!$B$2:$B437, "=Jalisco")</f>
        <v>263</v>
      </c>
      <c r="F9" s="11">
        <f>SUMIFS(Concentrado!G$2:G437,Concentrado!$A$2:$A437,"="&amp;$A9,Concentrado!$B$2:$B437, "=Jalisco")</f>
        <v>169</v>
      </c>
    </row>
    <row r="10" spans="1:6" x14ac:dyDescent="0.25">
      <c r="A10" s="8">
        <v>2020</v>
      </c>
      <c r="B10" s="11">
        <f>SUMIFS(Concentrado!C$2:C438,Concentrado!$A$2:$A438,"="&amp;$A10,Concentrado!$B$2:$B438, "=Jalisco")</f>
        <v>4231</v>
      </c>
      <c r="C10" s="11">
        <f>SUMIFS(Concentrado!D$2:D438,Concentrado!$A$2:$A438,"="&amp;$A10,Concentrado!$B$2:$B438, "=Jalisco")</f>
        <v>6798</v>
      </c>
      <c r="D10" s="11">
        <f>SUMIFS(Concentrado!E$2:E438,Concentrado!$A$2:$A438,"="&amp;$A10,Concentrado!$B$2:$B438, "=Jalisco")</f>
        <v>3252</v>
      </c>
      <c r="E10" s="11">
        <f>SUMIFS(Concentrado!F$2:F438,Concentrado!$A$2:$A438,"="&amp;$A10,Concentrado!$B$2:$B438, "=Jalisco")</f>
        <v>260</v>
      </c>
      <c r="F10" s="11">
        <f>SUMIFS(Concentrado!G$2:G438,Concentrado!$A$2:$A438,"="&amp;$A10,Concentrado!$B$2:$B438, "=Jalisco")</f>
        <v>160</v>
      </c>
    </row>
    <row r="11" spans="1:6" x14ac:dyDescent="0.25">
      <c r="A11" s="8">
        <v>2021</v>
      </c>
      <c r="B11" s="11">
        <f>SUMIFS(Concentrado!C$2:C439,Concentrado!$A$2:$A439,"="&amp;$A11,Concentrado!$B$2:$B439, "=Jalisco")</f>
        <v>4261</v>
      </c>
      <c r="C11" s="11">
        <f>SUMIFS(Concentrado!D$2:D439,Concentrado!$A$2:$A439,"="&amp;$A11,Concentrado!$B$2:$B439, "=Jalisco")</f>
        <v>6840</v>
      </c>
      <c r="D11" s="11">
        <f>SUMIFS(Concentrado!E$2:E439,Concentrado!$A$2:$A439,"="&amp;$A11,Concentrado!$B$2:$B439, "=Jalisco")</f>
        <v>3330</v>
      </c>
      <c r="E11" s="11">
        <f>SUMIFS(Concentrado!F$2:F439,Concentrado!$A$2:$A439,"="&amp;$A11,Concentrado!$B$2:$B439, "=Jalisco")</f>
        <v>275</v>
      </c>
      <c r="F11" s="11">
        <f>SUMIFS(Concentrado!G$2:G439,Concentrado!$A$2:$A439,"="&amp;$A11,Concentrado!$B$2:$B439, "=Jalisco")</f>
        <v>139</v>
      </c>
    </row>
    <row r="12" spans="1:6" x14ac:dyDescent="0.25">
      <c r="A12" s="8">
        <v>2022</v>
      </c>
      <c r="B12" s="11">
        <f>SUMIFS(Concentrado!C$2:C440,Concentrado!$A$2:$A440,"="&amp;$A12,Concentrado!$B$2:$B440, "=Jalisco")</f>
        <v>4369</v>
      </c>
      <c r="C12" s="11">
        <f>SUMIFS(Concentrado!D$2:D440,Concentrado!$A$2:$A440,"="&amp;$A12,Concentrado!$B$2:$B440, "=Jalisco")</f>
        <v>6897</v>
      </c>
      <c r="D12" s="11">
        <f>SUMIFS(Concentrado!E$2:E440,Concentrado!$A$2:$A440,"="&amp;$A12,Concentrado!$B$2:$B440, "=Jalisco")</f>
        <v>3353</v>
      </c>
      <c r="E12" s="11">
        <f>SUMIFS(Concentrado!F$2:F440,Concentrado!$A$2:$A440,"="&amp;$A12,Concentrado!$B$2:$B440, "=Jalisco")</f>
        <v>277</v>
      </c>
      <c r="F12" s="11">
        <f>SUMIFS(Concentrado!G$2:G440,Concentrado!$A$2:$A440,"="&amp;$A12,Concentrado!$B$2:$B440, "=Jalisco")</f>
        <v>134</v>
      </c>
    </row>
    <row r="13" spans="1:6" x14ac:dyDescent="0.25">
      <c r="A13" s="8">
        <v>2023</v>
      </c>
      <c r="B13" s="11">
        <f>SUMIFS(Concentrado!C$2:C441,Concentrado!$A$2:$A441,"="&amp;$A13,Concentrado!$B$2:$B441, "=Jalisco")</f>
        <v>4399</v>
      </c>
      <c r="C13" s="11">
        <f>SUMIFS(Concentrado!D$2:D441,Concentrado!$A$2:$A441,"="&amp;$A13,Concentrado!$B$2:$B441, "=Jalisco")</f>
        <v>6887</v>
      </c>
      <c r="D13" s="11">
        <f>SUMIFS(Concentrado!E$2:E441,Concentrado!$A$2:$A441,"="&amp;$A13,Concentrado!$B$2:$B441, "=Jalisco")</f>
        <v>3751</v>
      </c>
      <c r="E13" s="11">
        <f>SUMIFS(Concentrado!F$2:F441,Concentrado!$A$2:$A441,"="&amp;$A13,Concentrado!$B$2:$B441, "=Jalisco")</f>
        <v>281</v>
      </c>
      <c r="F13" s="11">
        <f>SUMIFS(Concentrado!G$2:G441,Concentrado!$A$2:$A441,"="&amp;$A13,Concentrado!$B$2:$B441, "=Jalisco")</f>
        <v>133</v>
      </c>
    </row>
    <row r="14" spans="1:6" x14ac:dyDescent="0.25">
      <c r="A14" s="8">
        <v>2024</v>
      </c>
      <c r="B14" s="11">
        <f>SUMIFS(Concentrado!C$2:C442,Concentrado!$A$2:$A442,"="&amp;$A14,Concentrado!$B$2:$B442, "=Jalisco")</f>
        <v>4488</v>
      </c>
      <c r="C14" s="11">
        <f>SUMIFS(Concentrado!D$2:D442,Concentrado!$A$2:$A442,"="&amp;$A14,Concentrado!$B$2:$B442, "=Jalisco")</f>
        <v>7197</v>
      </c>
      <c r="D14" s="11">
        <f>SUMIFS(Concentrado!E$2:E442,Concentrado!$A$2:$A442,"="&amp;$A14,Concentrado!$B$2:$B442, "=Jalisco")</f>
        <v>4037</v>
      </c>
      <c r="E14" s="11">
        <f>SUMIFS(Concentrado!F$2:F442,Concentrado!$A$2:$A442,"="&amp;$A14,Concentrado!$B$2:$B442, "=Jalisco")</f>
        <v>303</v>
      </c>
      <c r="F14" s="11">
        <f>SUMIFS(Concentrado!G$2:G442,Concentrado!$A$2:$A442,"="&amp;$A14,Concentrado!$B$2:$B442, "=Jalisco")</f>
        <v>138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zoomScale="112" zoomScaleNormal="112" workbookViewId="0">
      <selection activeCell="F14" sqref="F14"/>
    </sheetView>
  </sheetViews>
  <sheetFormatPr baseColWidth="10" defaultRowHeight="15" x14ac:dyDescent="0.25"/>
  <cols>
    <col min="1" max="1" width="12.140625" customWidth="1"/>
    <col min="2" max="2" width="13.28515625" bestFit="1" customWidth="1"/>
    <col min="3" max="3" width="12.42578125" bestFit="1" customWidth="1"/>
    <col min="4" max="4" width="19.140625" customWidth="1"/>
    <col min="5" max="5" width="12.28515625" bestFit="1" customWidth="1"/>
    <col min="6" max="6" width="12" bestFit="1" customWidth="1"/>
  </cols>
  <sheetData>
    <row r="1" spans="1:6" s="4" customFormat="1" ht="42.75" x14ac:dyDescent="0.2">
      <c r="A1" s="1" t="s">
        <v>0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</row>
    <row r="2" spans="1:6" x14ac:dyDescent="0.25">
      <c r="A2" s="8">
        <v>2012</v>
      </c>
      <c r="B2" s="11">
        <f>SUMIFS(Concentrado!C$2:C430,Concentrado!$A$2:$A430,"="&amp;$A2,Concentrado!$B$2:$B430, "=México")</f>
        <v>6685</v>
      </c>
      <c r="C2" s="11">
        <f>SUMIFS(Concentrado!D$2:D430,Concentrado!$A$2:$A430,"="&amp;$A2,Concentrado!$B$2:$B430, "=México")</f>
        <v>8022</v>
      </c>
      <c r="D2" s="11">
        <f>SUMIFS(Concentrado!E$2:E430,Concentrado!$A$2:$A430,"="&amp;$A2,Concentrado!$B$2:$B430, "=México")</f>
        <v>4521</v>
      </c>
      <c r="E2" s="11">
        <f>SUMIFS(Concentrado!F$2:F430,Concentrado!$A$2:$A430,"="&amp;$A2,Concentrado!$B$2:$B430, "=México")</f>
        <v>284</v>
      </c>
      <c r="F2" s="11">
        <f>SUMIFS(Concentrado!G$2:G430,Concentrado!$A$2:$A430,"="&amp;$A2,Concentrado!$B$2:$B430, "=México")</f>
        <v>199</v>
      </c>
    </row>
    <row r="3" spans="1:6" x14ac:dyDescent="0.25">
      <c r="A3" s="8">
        <v>2013</v>
      </c>
      <c r="B3" s="11">
        <f>SUMIFS(Concentrado!C$2:C431,Concentrado!$A$2:$A431,"="&amp;$A3,Concentrado!$B$2:$B431, "=México")</f>
        <v>7010</v>
      </c>
      <c r="C3" s="11">
        <f>SUMIFS(Concentrado!D$2:D431,Concentrado!$A$2:$A431,"="&amp;$A3,Concentrado!$B$2:$B431, "=México")</f>
        <v>8034</v>
      </c>
      <c r="D3" s="11">
        <f>SUMIFS(Concentrado!E$2:E431,Concentrado!$A$2:$A431,"="&amp;$A3,Concentrado!$B$2:$B431, "=México")</f>
        <v>4893</v>
      </c>
      <c r="E3" s="11">
        <f>SUMIFS(Concentrado!F$2:F431,Concentrado!$A$2:$A431,"="&amp;$A3,Concentrado!$B$2:$B431, "=México")</f>
        <v>308</v>
      </c>
      <c r="F3" s="11">
        <f>SUMIFS(Concentrado!G$2:G431,Concentrado!$A$2:$A431,"="&amp;$A3,Concentrado!$B$2:$B431, "=México")</f>
        <v>208</v>
      </c>
    </row>
    <row r="4" spans="1:6" x14ac:dyDescent="0.25">
      <c r="A4" s="8">
        <v>2014</v>
      </c>
      <c r="B4" s="11">
        <f>SUMIFS(Concentrado!C$2:C432,Concentrado!$A$2:$A432,"="&amp;$A4,Concentrado!$B$2:$B432, "=México")</f>
        <v>7127</v>
      </c>
      <c r="C4" s="11">
        <f>SUMIFS(Concentrado!D$2:D432,Concentrado!$A$2:$A432,"="&amp;$A4,Concentrado!$B$2:$B432, "=México")</f>
        <v>8198</v>
      </c>
      <c r="D4" s="11">
        <f>SUMIFS(Concentrado!E$2:E432,Concentrado!$A$2:$A432,"="&amp;$A4,Concentrado!$B$2:$B432, "=México")</f>
        <v>4966</v>
      </c>
      <c r="E4" s="11">
        <f>SUMIFS(Concentrado!F$2:F432,Concentrado!$A$2:$A432,"="&amp;$A4,Concentrado!$B$2:$B432, "=México")</f>
        <v>321</v>
      </c>
      <c r="F4" s="11">
        <f>SUMIFS(Concentrado!G$2:G432,Concentrado!$A$2:$A432,"="&amp;$A4,Concentrado!$B$2:$B432, "=México")</f>
        <v>210</v>
      </c>
    </row>
    <row r="5" spans="1:6" x14ac:dyDescent="0.25">
      <c r="A5" s="8">
        <v>2015</v>
      </c>
      <c r="B5" s="11">
        <f>SUMIFS(Concentrado!C$2:C433,Concentrado!$A$2:$A433,"="&amp;$A5,Concentrado!$B$2:$B433, "=México")</f>
        <v>7279</v>
      </c>
      <c r="C5" s="11">
        <f>SUMIFS(Concentrado!D$2:D433,Concentrado!$A$2:$A433,"="&amp;$A5,Concentrado!$B$2:$B433, "=México")</f>
        <v>8311</v>
      </c>
      <c r="D5" s="11">
        <f>SUMIFS(Concentrado!E$2:E433,Concentrado!$A$2:$A433,"="&amp;$A5,Concentrado!$B$2:$B433, "=México")</f>
        <v>4566</v>
      </c>
      <c r="E5" s="11">
        <f>SUMIFS(Concentrado!F$2:F433,Concentrado!$A$2:$A433,"="&amp;$A5,Concentrado!$B$2:$B433, "=México")</f>
        <v>315</v>
      </c>
      <c r="F5" s="11">
        <f>SUMIFS(Concentrado!G$2:G433,Concentrado!$A$2:$A433,"="&amp;$A5,Concentrado!$B$2:$B433, "=México")</f>
        <v>218</v>
      </c>
    </row>
    <row r="6" spans="1:6" x14ac:dyDescent="0.25">
      <c r="A6" s="8">
        <v>2016</v>
      </c>
      <c r="B6" s="11">
        <f>SUMIFS(Concentrado!C$2:C434,Concentrado!$A$2:$A434,"="&amp;$A6,Concentrado!$B$2:$B434, "=México")</f>
        <v>7643</v>
      </c>
      <c r="C6" s="11">
        <f>SUMIFS(Concentrado!D$2:D434,Concentrado!$A$2:$A434,"="&amp;$A6,Concentrado!$B$2:$B434, "=México")</f>
        <v>8812</v>
      </c>
      <c r="D6" s="11">
        <f>SUMIFS(Concentrado!E$2:E434,Concentrado!$A$2:$A434,"="&amp;$A6,Concentrado!$B$2:$B434, "=México")</f>
        <v>4730</v>
      </c>
      <c r="E6" s="11">
        <f>SUMIFS(Concentrado!F$2:F434,Concentrado!$A$2:$A434,"="&amp;$A6,Concentrado!$B$2:$B434, "=México")</f>
        <v>341</v>
      </c>
      <c r="F6" s="11">
        <f>SUMIFS(Concentrado!G$2:G434,Concentrado!$A$2:$A434,"="&amp;$A6,Concentrado!$B$2:$B434, "=México")</f>
        <v>227</v>
      </c>
    </row>
    <row r="7" spans="1:6" x14ac:dyDescent="0.25">
      <c r="A7" s="8">
        <v>2017</v>
      </c>
      <c r="B7" s="11">
        <f>SUMIFS(Concentrado!C$2:C435,Concentrado!$A$2:$A435,"="&amp;$A7,Concentrado!$B$2:$B435, "=México")</f>
        <v>7517</v>
      </c>
      <c r="C7" s="11">
        <f>SUMIFS(Concentrado!D$2:D435,Concentrado!$A$2:$A435,"="&amp;$A7,Concentrado!$B$2:$B435, "=México")</f>
        <v>8407</v>
      </c>
      <c r="D7" s="11">
        <f>SUMIFS(Concentrado!E$2:E435,Concentrado!$A$2:$A435,"="&amp;$A7,Concentrado!$B$2:$B435, "=México")</f>
        <v>4289</v>
      </c>
      <c r="E7" s="11">
        <f>SUMIFS(Concentrado!F$2:F435,Concentrado!$A$2:$A435,"="&amp;$A7,Concentrado!$B$2:$B435, "=México")</f>
        <v>326</v>
      </c>
      <c r="F7" s="11">
        <f>SUMIFS(Concentrado!G$2:G435,Concentrado!$A$2:$A435,"="&amp;$A7,Concentrado!$B$2:$B435, "=México")</f>
        <v>218</v>
      </c>
    </row>
    <row r="8" spans="1:6" x14ac:dyDescent="0.25">
      <c r="A8" s="8">
        <v>2018</v>
      </c>
      <c r="B8" s="11">
        <f>SUMIFS(Concentrado!C$2:C436,Concentrado!$A$2:$A436,"="&amp;$A8,Concentrado!$B$2:$B436, "=México")</f>
        <v>7476</v>
      </c>
      <c r="C8" s="11">
        <f>SUMIFS(Concentrado!D$2:D436,Concentrado!$A$2:$A436,"="&amp;$A8,Concentrado!$B$2:$B436, "=México")</f>
        <v>8356</v>
      </c>
      <c r="D8" s="11">
        <f>SUMIFS(Concentrado!E$2:E436,Concentrado!$A$2:$A436,"="&amp;$A8,Concentrado!$B$2:$B436, "=México")</f>
        <v>4307</v>
      </c>
      <c r="E8" s="11">
        <f>SUMIFS(Concentrado!F$2:F436,Concentrado!$A$2:$A436,"="&amp;$A8,Concentrado!$B$2:$B436, "=México")</f>
        <v>324</v>
      </c>
      <c r="F8" s="11">
        <f>SUMIFS(Concentrado!G$2:G436,Concentrado!$A$2:$A436,"="&amp;$A8,Concentrado!$B$2:$B436, "=México")</f>
        <v>217</v>
      </c>
    </row>
    <row r="9" spans="1:6" x14ac:dyDescent="0.25">
      <c r="A9" s="8">
        <v>2019</v>
      </c>
      <c r="B9" s="11">
        <f>SUMIFS(Concentrado!C$2:C437,Concentrado!$A$2:$A437,"="&amp;$A9,Concentrado!$B$2:$B437, "=México")</f>
        <v>7523</v>
      </c>
      <c r="C9" s="11">
        <f>SUMIFS(Concentrado!D$2:D437,Concentrado!$A$2:$A437,"="&amp;$A9,Concentrado!$B$2:$B437, "=México")</f>
        <v>8267</v>
      </c>
      <c r="D9" s="11">
        <f>SUMIFS(Concentrado!E$2:E437,Concentrado!$A$2:$A437,"="&amp;$A9,Concentrado!$B$2:$B437, "=México")</f>
        <v>4430</v>
      </c>
      <c r="E9" s="11">
        <f>SUMIFS(Concentrado!F$2:F437,Concentrado!$A$2:$A437,"="&amp;$A9,Concentrado!$B$2:$B437, "=México")</f>
        <v>333</v>
      </c>
      <c r="F9" s="11">
        <f>SUMIFS(Concentrado!G$2:G437,Concentrado!$A$2:$A437,"="&amp;$A9,Concentrado!$B$2:$B437, "=México")</f>
        <v>217</v>
      </c>
    </row>
    <row r="10" spans="1:6" x14ac:dyDescent="0.25">
      <c r="A10" s="8">
        <v>2020</v>
      </c>
      <c r="B10" s="11">
        <f>SUMIFS(Concentrado!C$2:C438,Concentrado!$A$2:$A438,"="&amp;$A10,Concentrado!$B$2:$B438, "=México")</f>
        <v>7676</v>
      </c>
      <c r="C10" s="11">
        <f>SUMIFS(Concentrado!D$2:D438,Concentrado!$A$2:$A438,"="&amp;$A10,Concentrado!$B$2:$B438, "=México")</f>
        <v>8594</v>
      </c>
      <c r="D10" s="11">
        <f>SUMIFS(Concentrado!E$2:E438,Concentrado!$A$2:$A438,"="&amp;$A10,Concentrado!$B$2:$B438, "=México")</f>
        <v>4552</v>
      </c>
      <c r="E10" s="11">
        <f>SUMIFS(Concentrado!F$2:F438,Concentrado!$A$2:$A438,"="&amp;$A10,Concentrado!$B$2:$B438, "=México")</f>
        <v>345</v>
      </c>
      <c r="F10" s="11">
        <f>SUMIFS(Concentrado!G$2:G438,Concentrado!$A$2:$A438,"="&amp;$A10,Concentrado!$B$2:$B438, "=México")</f>
        <v>218</v>
      </c>
    </row>
    <row r="11" spans="1:6" x14ac:dyDescent="0.25">
      <c r="A11" s="8">
        <v>2021</v>
      </c>
      <c r="B11" s="11">
        <f>SUMIFS(Concentrado!C$2:C439,Concentrado!$A$2:$A439,"="&amp;$A11,Concentrado!$B$2:$B439, "=México")</f>
        <v>7757</v>
      </c>
      <c r="C11" s="11">
        <f>SUMIFS(Concentrado!D$2:D439,Concentrado!$A$2:$A439,"="&amp;$A11,Concentrado!$B$2:$B439, "=México")</f>
        <v>8959</v>
      </c>
      <c r="D11" s="11">
        <f>SUMIFS(Concentrado!E$2:E439,Concentrado!$A$2:$A439,"="&amp;$A11,Concentrado!$B$2:$B439, "=México")</f>
        <v>4575</v>
      </c>
      <c r="E11" s="11">
        <f>SUMIFS(Concentrado!F$2:F439,Concentrado!$A$2:$A439,"="&amp;$A11,Concentrado!$B$2:$B439, "=México")</f>
        <v>339</v>
      </c>
      <c r="F11" s="11">
        <f>SUMIFS(Concentrado!G$2:G439,Concentrado!$A$2:$A439,"="&amp;$A11,Concentrado!$B$2:$B439, "=México")</f>
        <v>220</v>
      </c>
    </row>
    <row r="12" spans="1:6" x14ac:dyDescent="0.25">
      <c r="A12" s="8">
        <v>2022</v>
      </c>
      <c r="B12" s="11">
        <f>SUMIFS(Concentrado!C$2:C440,Concentrado!$A$2:$A440,"="&amp;$A12,Concentrado!$B$2:$B440, "=México")</f>
        <v>7904</v>
      </c>
      <c r="C12" s="11">
        <f>SUMIFS(Concentrado!D$2:D440,Concentrado!$A$2:$A440,"="&amp;$A12,Concentrado!$B$2:$B440, "=México")</f>
        <v>9117</v>
      </c>
      <c r="D12" s="11">
        <f>SUMIFS(Concentrado!E$2:E440,Concentrado!$A$2:$A440,"="&amp;$A12,Concentrado!$B$2:$B440, "=México")</f>
        <v>4603</v>
      </c>
      <c r="E12" s="11">
        <f>SUMIFS(Concentrado!F$2:F440,Concentrado!$A$2:$A440,"="&amp;$A12,Concentrado!$B$2:$B440, "=México")</f>
        <v>362</v>
      </c>
      <c r="F12" s="11">
        <f>SUMIFS(Concentrado!G$2:G440,Concentrado!$A$2:$A440,"="&amp;$A12,Concentrado!$B$2:$B440, "=México")</f>
        <v>223</v>
      </c>
    </row>
    <row r="13" spans="1:6" x14ac:dyDescent="0.25">
      <c r="A13" s="8">
        <v>2023</v>
      </c>
      <c r="B13" s="11">
        <f>SUMIFS(Concentrado!C$2:C441,Concentrado!$A$2:$A441,"="&amp;$A13,Concentrado!$B$2:$B441, "=México")</f>
        <v>7923</v>
      </c>
      <c r="C13" s="11">
        <f>SUMIFS(Concentrado!D$2:D441,Concentrado!$A$2:$A441,"="&amp;$A13,Concentrado!$B$2:$B441, "=México")</f>
        <v>9035</v>
      </c>
      <c r="D13" s="11">
        <f>SUMIFS(Concentrado!E$2:E441,Concentrado!$A$2:$A441,"="&amp;$A13,Concentrado!$B$2:$B441, "=México")</f>
        <v>4628</v>
      </c>
      <c r="E13" s="11">
        <f>SUMIFS(Concentrado!F$2:F441,Concentrado!$A$2:$A441,"="&amp;$A13,Concentrado!$B$2:$B441, "=México")</f>
        <v>367</v>
      </c>
      <c r="F13" s="11">
        <f>SUMIFS(Concentrado!G$2:G441,Concentrado!$A$2:$A441,"="&amp;$A13,Concentrado!$B$2:$B441, "=México")</f>
        <v>224</v>
      </c>
    </row>
    <row r="14" spans="1:6" x14ac:dyDescent="0.25">
      <c r="A14" s="8">
        <v>2024</v>
      </c>
      <c r="B14" s="11">
        <f>SUMIFS(Concentrado!C$2:C442,Concentrado!$A$2:$A442,"="&amp;$A14,Concentrado!$B$2:$B442, "=México")</f>
        <v>8342</v>
      </c>
      <c r="C14" s="11">
        <f>SUMIFS(Concentrado!D$2:D442,Concentrado!$A$2:$A442,"="&amp;$A14,Concentrado!$B$2:$B442, "=México")</f>
        <v>9452</v>
      </c>
      <c r="D14" s="11">
        <f>SUMIFS(Concentrado!E$2:E442,Concentrado!$A$2:$A442,"="&amp;$A14,Concentrado!$B$2:$B442, "=México")</f>
        <v>4681</v>
      </c>
      <c r="E14" s="11">
        <f>SUMIFS(Concentrado!F$2:F442,Concentrado!$A$2:$A442,"="&amp;$A14,Concentrado!$B$2:$B442, "=México")</f>
        <v>380</v>
      </c>
      <c r="F14" s="11">
        <f>SUMIFS(Concentrado!G$2:G442,Concentrado!$A$2:$A442,"="&amp;$A14,Concentrado!$B$2:$B442, "=México")</f>
        <v>225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zoomScale="112" zoomScaleNormal="112" workbookViewId="0">
      <selection activeCell="F14" sqref="F14"/>
    </sheetView>
  </sheetViews>
  <sheetFormatPr baseColWidth="10" defaultRowHeight="15" x14ac:dyDescent="0.25"/>
  <cols>
    <col min="1" max="1" width="12.140625" customWidth="1"/>
    <col min="2" max="2" width="13.28515625" bestFit="1" customWidth="1"/>
    <col min="3" max="3" width="12.42578125" bestFit="1" customWidth="1"/>
    <col min="4" max="4" width="19.140625" customWidth="1"/>
    <col min="5" max="5" width="12.28515625" bestFit="1" customWidth="1"/>
    <col min="6" max="6" width="12" bestFit="1" customWidth="1"/>
  </cols>
  <sheetData>
    <row r="1" spans="1:6" s="4" customFormat="1" ht="42.75" x14ac:dyDescent="0.2">
      <c r="A1" s="1" t="s">
        <v>0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</row>
    <row r="2" spans="1:6" x14ac:dyDescent="0.25">
      <c r="A2" s="8">
        <v>2012</v>
      </c>
      <c r="B2" s="11">
        <f>SUMIFS(Concentrado!C$2:C430,Concentrado!$A$2:$A430,"="&amp;$A2,Concentrado!$B$2:$B430, "=Michoacán")</f>
        <v>2634</v>
      </c>
      <c r="C2" s="11">
        <f>SUMIFS(Concentrado!D$2:D430,Concentrado!$A$2:$A430,"="&amp;$A2,Concentrado!$B$2:$B430, "=Michoacán")</f>
        <v>2535</v>
      </c>
      <c r="D2" s="11">
        <f>SUMIFS(Concentrado!E$2:E430,Concentrado!$A$2:$A430,"="&amp;$A2,Concentrado!$B$2:$B430, "=Michoacán")</f>
        <v>1975</v>
      </c>
      <c r="E2" s="11">
        <f>SUMIFS(Concentrado!F$2:F430,Concentrado!$A$2:$A430,"="&amp;$A2,Concentrado!$B$2:$B430, "=Michoacán")</f>
        <v>106</v>
      </c>
      <c r="F2" s="11">
        <f>SUMIFS(Concentrado!G$2:G430,Concentrado!$A$2:$A430,"="&amp;$A2,Concentrado!$B$2:$B430, "=Michoacán")</f>
        <v>91</v>
      </c>
    </row>
    <row r="3" spans="1:6" x14ac:dyDescent="0.25">
      <c r="A3" s="8">
        <v>2013</v>
      </c>
      <c r="B3" s="11">
        <f>SUMIFS(Concentrado!C$2:C431,Concentrado!$A$2:$A431,"="&amp;$A3,Concentrado!$B$2:$B431, "=Michoacán")</f>
        <v>2739</v>
      </c>
      <c r="C3" s="11">
        <f>SUMIFS(Concentrado!D$2:D431,Concentrado!$A$2:$A431,"="&amp;$A3,Concentrado!$B$2:$B431, "=Michoacán")</f>
        <v>2490</v>
      </c>
      <c r="D3" s="11">
        <f>SUMIFS(Concentrado!E$2:E431,Concentrado!$A$2:$A431,"="&amp;$A3,Concentrado!$B$2:$B431, "=Michoacán")</f>
        <v>2123</v>
      </c>
      <c r="E3" s="11">
        <f>SUMIFS(Concentrado!F$2:F431,Concentrado!$A$2:$A431,"="&amp;$A3,Concentrado!$B$2:$B431, "=Michoacán")</f>
        <v>118</v>
      </c>
      <c r="F3" s="11">
        <f>SUMIFS(Concentrado!G$2:G431,Concentrado!$A$2:$A431,"="&amp;$A3,Concentrado!$B$2:$B431, "=Michoacán")</f>
        <v>93</v>
      </c>
    </row>
    <row r="4" spans="1:6" x14ac:dyDescent="0.25">
      <c r="A4" s="8">
        <v>2014</v>
      </c>
      <c r="B4" s="11">
        <f>SUMIFS(Concentrado!C$2:C432,Concentrado!$A$2:$A432,"="&amp;$A4,Concentrado!$B$2:$B432, "=Michoacán")</f>
        <v>2780</v>
      </c>
      <c r="C4" s="11">
        <f>SUMIFS(Concentrado!D$2:D432,Concentrado!$A$2:$A432,"="&amp;$A4,Concentrado!$B$2:$B432, "=Michoacán")</f>
        <v>2513</v>
      </c>
      <c r="D4" s="11">
        <f>SUMIFS(Concentrado!E$2:E432,Concentrado!$A$2:$A432,"="&amp;$A4,Concentrado!$B$2:$B432, "=Michoacán")</f>
        <v>2191</v>
      </c>
      <c r="E4" s="11">
        <f>SUMIFS(Concentrado!F$2:F432,Concentrado!$A$2:$A432,"="&amp;$A4,Concentrado!$B$2:$B432, "=Michoacán")</f>
        <v>116</v>
      </c>
      <c r="F4" s="11">
        <f>SUMIFS(Concentrado!G$2:G432,Concentrado!$A$2:$A432,"="&amp;$A4,Concentrado!$B$2:$B432, "=Michoacán")</f>
        <v>93</v>
      </c>
    </row>
    <row r="5" spans="1:6" x14ac:dyDescent="0.25">
      <c r="A5" s="8">
        <v>2015</v>
      </c>
      <c r="B5" s="11">
        <f>SUMIFS(Concentrado!C$2:C433,Concentrado!$A$2:$A433,"="&amp;$A5,Concentrado!$B$2:$B433, "=Michoacán")</f>
        <v>2787</v>
      </c>
      <c r="C5" s="11">
        <f>SUMIFS(Concentrado!D$2:D433,Concentrado!$A$2:$A433,"="&amp;$A5,Concentrado!$B$2:$B433, "=Michoacán")</f>
        <v>2504</v>
      </c>
      <c r="D5" s="11">
        <f>SUMIFS(Concentrado!E$2:E433,Concentrado!$A$2:$A433,"="&amp;$A5,Concentrado!$B$2:$B433, "=Michoacán")</f>
        <v>1508</v>
      </c>
      <c r="E5" s="11">
        <f>SUMIFS(Concentrado!F$2:F433,Concentrado!$A$2:$A433,"="&amp;$A5,Concentrado!$B$2:$B433, "=Michoacán")</f>
        <v>123</v>
      </c>
      <c r="F5" s="11">
        <f>SUMIFS(Concentrado!G$2:G433,Concentrado!$A$2:$A433,"="&amp;$A5,Concentrado!$B$2:$B433, "=Michoacán")</f>
        <v>92</v>
      </c>
    </row>
    <row r="6" spans="1:6" x14ac:dyDescent="0.25">
      <c r="A6" s="8">
        <v>2016</v>
      </c>
      <c r="B6" s="11">
        <f>SUMIFS(Concentrado!C$2:C434,Concentrado!$A$2:$A434,"="&amp;$A6,Concentrado!$B$2:$B434, "=Michoacán")</f>
        <v>2846</v>
      </c>
      <c r="C6" s="11">
        <f>SUMIFS(Concentrado!D$2:D434,Concentrado!$A$2:$A434,"="&amp;$A6,Concentrado!$B$2:$B434, "=Michoacán")</f>
        <v>2510</v>
      </c>
      <c r="D6" s="11">
        <f>SUMIFS(Concentrado!E$2:E434,Concentrado!$A$2:$A434,"="&amp;$A6,Concentrado!$B$2:$B434, "=Michoacán")</f>
        <v>1479</v>
      </c>
      <c r="E6" s="11">
        <f>SUMIFS(Concentrado!F$2:F434,Concentrado!$A$2:$A434,"="&amp;$A6,Concentrado!$B$2:$B434, "=Michoacán")</f>
        <v>117</v>
      </c>
      <c r="F6" s="11">
        <f>SUMIFS(Concentrado!G$2:G434,Concentrado!$A$2:$A434,"="&amp;$A6,Concentrado!$B$2:$B434, "=Michoacán")</f>
        <v>96</v>
      </c>
    </row>
    <row r="7" spans="1:6" x14ac:dyDescent="0.25">
      <c r="A7" s="8">
        <v>2017</v>
      </c>
      <c r="B7" s="11">
        <f>SUMIFS(Concentrado!C$2:C435,Concentrado!$A$2:$A435,"="&amp;$A7,Concentrado!$B$2:$B435, "=Michoacán")</f>
        <v>2894</v>
      </c>
      <c r="C7" s="11">
        <f>SUMIFS(Concentrado!D$2:D435,Concentrado!$A$2:$A435,"="&amp;$A7,Concentrado!$B$2:$B435, "=Michoacán")</f>
        <v>2615</v>
      </c>
      <c r="D7" s="11">
        <f>SUMIFS(Concentrado!E$2:E435,Concentrado!$A$2:$A435,"="&amp;$A7,Concentrado!$B$2:$B435, "=Michoacán")</f>
        <v>1490</v>
      </c>
      <c r="E7" s="11">
        <f>SUMIFS(Concentrado!F$2:F435,Concentrado!$A$2:$A435,"="&amp;$A7,Concentrado!$B$2:$B435, "=Michoacán")</f>
        <v>124</v>
      </c>
      <c r="F7" s="11">
        <f>SUMIFS(Concentrado!G$2:G435,Concentrado!$A$2:$A435,"="&amp;$A7,Concentrado!$B$2:$B435, "=Michoacán")</f>
        <v>90</v>
      </c>
    </row>
    <row r="8" spans="1:6" x14ac:dyDescent="0.25">
      <c r="A8" s="8">
        <v>2018</v>
      </c>
      <c r="B8" s="11">
        <f>SUMIFS(Concentrado!C$2:C436,Concentrado!$A$2:$A436,"="&amp;$A8,Concentrado!$B$2:$B436, "=Michoacán")</f>
        <v>2949</v>
      </c>
      <c r="C8" s="11">
        <f>SUMIFS(Concentrado!D$2:D436,Concentrado!$A$2:$A436,"="&amp;$A8,Concentrado!$B$2:$B436, "=Michoacán")</f>
        <v>2648</v>
      </c>
      <c r="D8" s="11">
        <f>SUMIFS(Concentrado!E$2:E436,Concentrado!$A$2:$A436,"="&amp;$A8,Concentrado!$B$2:$B436, "=Michoacán")</f>
        <v>1573</v>
      </c>
      <c r="E8" s="11">
        <f>SUMIFS(Concentrado!F$2:F436,Concentrado!$A$2:$A436,"="&amp;$A8,Concentrado!$B$2:$B436, "=Michoacán")</f>
        <v>122</v>
      </c>
      <c r="F8" s="11">
        <f>SUMIFS(Concentrado!G$2:G436,Concentrado!$A$2:$A436,"="&amp;$A8,Concentrado!$B$2:$B436, "=Michoacán")</f>
        <v>84</v>
      </c>
    </row>
    <row r="9" spans="1:6" x14ac:dyDescent="0.25">
      <c r="A9" s="8">
        <v>2019</v>
      </c>
      <c r="B9" s="11">
        <f>SUMIFS(Concentrado!C$2:C437,Concentrado!$A$2:$A437,"="&amp;$A9,Concentrado!$B$2:$B437, "=Michoacán")</f>
        <v>2921</v>
      </c>
      <c r="C9" s="11">
        <f>SUMIFS(Concentrado!D$2:D437,Concentrado!$A$2:$A437,"="&amp;$A9,Concentrado!$B$2:$B437, "=Michoacán")</f>
        <v>2622</v>
      </c>
      <c r="D9" s="11">
        <f>SUMIFS(Concentrado!E$2:E437,Concentrado!$A$2:$A437,"="&amp;$A9,Concentrado!$B$2:$B437, "=Michoacán")</f>
        <v>1565</v>
      </c>
      <c r="E9" s="11">
        <f>SUMIFS(Concentrado!F$2:F437,Concentrado!$A$2:$A437,"="&amp;$A9,Concentrado!$B$2:$B437, "=Michoacán")</f>
        <v>133</v>
      </c>
      <c r="F9" s="11">
        <f>SUMIFS(Concentrado!G$2:G437,Concentrado!$A$2:$A437,"="&amp;$A9,Concentrado!$B$2:$B437, "=Michoacán")</f>
        <v>90</v>
      </c>
    </row>
    <row r="10" spans="1:6" x14ac:dyDescent="0.25">
      <c r="A10" s="8">
        <v>2020</v>
      </c>
      <c r="B10" s="11">
        <f>SUMIFS(Concentrado!C$2:C438,Concentrado!$A$2:$A438,"="&amp;$A10,Concentrado!$B$2:$B438, "=Michoacán")</f>
        <v>3011</v>
      </c>
      <c r="C10" s="11">
        <f>SUMIFS(Concentrado!D$2:D438,Concentrado!$A$2:$A438,"="&amp;$A10,Concentrado!$B$2:$B438, "=Michoacán")</f>
        <v>2758</v>
      </c>
      <c r="D10" s="11">
        <f>SUMIFS(Concentrado!E$2:E438,Concentrado!$A$2:$A438,"="&amp;$A10,Concentrado!$B$2:$B438, "=Michoacán")</f>
        <v>1604</v>
      </c>
      <c r="E10" s="11">
        <f>SUMIFS(Concentrado!F$2:F438,Concentrado!$A$2:$A438,"="&amp;$A10,Concentrado!$B$2:$B438, "=Michoacán")</f>
        <v>139</v>
      </c>
      <c r="F10" s="11">
        <f>SUMIFS(Concentrado!G$2:G438,Concentrado!$A$2:$A438,"="&amp;$A10,Concentrado!$B$2:$B438, "=Michoacán")</f>
        <v>85</v>
      </c>
    </row>
    <row r="11" spans="1:6" x14ac:dyDescent="0.25">
      <c r="A11" s="8">
        <v>2021</v>
      </c>
      <c r="B11" s="11">
        <f>SUMIFS(Concentrado!C$2:C439,Concentrado!$A$2:$A439,"="&amp;$A11,Concentrado!$B$2:$B439, "=Michoacán")</f>
        <v>2974</v>
      </c>
      <c r="C11" s="11">
        <f>SUMIFS(Concentrado!D$2:D439,Concentrado!$A$2:$A439,"="&amp;$A11,Concentrado!$B$2:$B439, "=Michoacán")</f>
        <v>2779</v>
      </c>
      <c r="D11" s="11">
        <f>SUMIFS(Concentrado!E$2:E439,Concentrado!$A$2:$A439,"="&amp;$A11,Concentrado!$B$2:$B439, "=Michoacán")</f>
        <v>1491</v>
      </c>
      <c r="E11" s="11">
        <f>SUMIFS(Concentrado!F$2:F439,Concentrado!$A$2:$A439,"="&amp;$A11,Concentrado!$B$2:$B439, "=Michoacán")</f>
        <v>139</v>
      </c>
      <c r="F11" s="11">
        <f>SUMIFS(Concentrado!G$2:G439,Concentrado!$A$2:$A439,"="&amp;$A11,Concentrado!$B$2:$B439, "=Michoacán")</f>
        <v>85</v>
      </c>
    </row>
    <row r="12" spans="1:6" x14ac:dyDescent="0.25">
      <c r="A12" s="8">
        <v>2022</v>
      </c>
      <c r="B12" s="11">
        <f>SUMIFS(Concentrado!C$2:C440,Concentrado!$A$2:$A440,"="&amp;$A12,Concentrado!$B$2:$B440, "=Michoacán")</f>
        <v>3059</v>
      </c>
      <c r="C12" s="11">
        <f>SUMIFS(Concentrado!D$2:D440,Concentrado!$A$2:$A440,"="&amp;$A12,Concentrado!$B$2:$B440, "=Michoacán")</f>
        <v>2841</v>
      </c>
      <c r="D12" s="11">
        <f>SUMIFS(Concentrado!E$2:E440,Concentrado!$A$2:$A440,"="&amp;$A12,Concentrado!$B$2:$B440, "=Michoacán")</f>
        <v>1323</v>
      </c>
      <c r="E12" s="11">
        <f>SUMIFS(Concentrado!F$2:F440,Concentrado!$A$2:$A440,"="&amp;$A12,Concentrado!$B$2:$B440, "=Michoacán")</f>
        <v>138</v>
      </c>
      <c r="F12" s="11">
        <f>SUMIFS(Concentrado!G$2:G440,Concentrado!$A$2:$A440,"="&amp;$A12,Concentrado!$B$2:$B440, "=Michoacán")</f>
        <v>85</v>
      </c>
    </row>
    <row r="13" spans="1:6" x14ac:dyDescent="0.25">
      <c r="A13" s="8">
        <v>2023</v>
      </c>
      <c r="B13" s="11">
        <f>SUMIFS(Concentrado!C$2:C441,Concentrado!$A$2:$A441,"="&amp;$A13,Concentrado!$B$2:$B441, "=Michoacán")</f>
        <v>3095</v>
      </c>
      <c r="C13" s="11">
        <f>SUMIFS(Concentrado!D$2:D441,Concentrado!$A$2:$A441,"="&amp;$A13,Concentrado!$B$2:$B441, "=Michoacán")</f>
        <v>2773</v>
      </c>
      <c r="D13" s="11">
        <f>SUMIFS(Concentrado!E$2:E441,Concentrado!$A$2:$A441,"="&amp;$A13,Concentrado!$B$2:$B441, "=Michoacán")</f>
        <v>1368</v>
      </c>
      <c r="E13" s="11">
        <f>SUMIFS(Concentrado!F$2:F441,Concentrado!$A$2:$A441,"="&amp;$A13,Concentrado!$B$2:$B441, "=Michoacán")</f>
        <v>134</v>
      </c>
      <c r="F13" s="11">
        <f>SUMIFS(Concentrado!G$2:G441,Concentrado!$A$2:$A441,"="&amp;$A13,Concentrado!$B$2:$B441, "=Michoacán")</f>
        <v>75</v>
      </c>
    </row>
    <row r="14" spans="1:6" x14ac:dyDescent="0.25">
      <c r="A14" s="8">
        <v>2024</v>
      </c>
      <c r="B14" s="11">
        <f>SUMIFS(Concentrado!C$2:C442,Concentrado!$A$2:$A442,"="&amp;$A14,Concentrado!$B$2:$B442, "=Michoacán")</f>
        <v>3051</v>
      </c>
      <c r="C14" s="11">
        <f>SUMIFS(Concentrado!D$2:D442,Concentrado!$A$2:$A442,"="&amp;$A14,Concentrado!$B$2:$B442, "=Michoacán")</f>
        <v>2839</v>
      </c>
      <c r="D14" s="11">
        <f>SUMIFS(Concentrado!E$2:E442,Concentrado!$A$2:$A442,"="&amp;$A14,Concentrado!$B$2:$B442, "=Michoacán")</f>
        <v>1365</v>
      </c>
      <c r="E14" s="11">
        <f>SUMIFS(Concentrado!F$2:F442,Concentrado!$A$2:$A442,"="&amp;$A14,Concentrado!$B$2:$B442, "=Michoacán")</f>
        <v>131</v>
      </c>
      <c r="F14" s="11">
        <f>SUMIFS(Concentrado!G$2:G442,Concentrado!$A$2:$A442,"="&amp;$A14,Concentrado!$B$2:$B442, "=Michoacán")</f>
        <v>75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zoomScale="112" zoomScaleNormal="112" workbookViewId="0">
      <selection activeCell="F14" sqref="F14"/>
    </sheetView>
  </sheetViews>
  <sheetFormatPr baseColWidth="10" defaultRowHeight="15" x14ac:dyDescent="0.25"/>
  <cols>
    <col min="1" max="1" width="12.140625" customWidth="1"/>
    <col min="2" max="2" width="13.28515625" bestFit="1" customWidth="1"/>
    <col min="3" max="3" width="12.42578125" bestFit="1" customWidth="1"/>
    <col min="4" max="4" width="19.140625" customWidth="1"/>
    <col min="5" max="5" width="12.28515625" bestFit="1" customWidth="1"/>
    <col min="6" max="6" width="12" bestFit="1" customWidth="1"/>
  </cols>
  <sheetData>
    <row r="1" spans="1:6" s="4" customFormat="1" ht="42.75" x14ac:dyDescent="0.2">
      <c r="A1" s="1" t="s">
        <v>0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</row>
    <row r="2" spans="1:6" x14ac:dyDescent="0.25">
      <c r="A2" s="8">
        <v>2012</v>
      </c>
      <c r="B2" s="11">
        <f>SUMIFS(Concentrado!C$2:C430,Concentrado!$A$2:$A430,"="&amp;$A2,Concentrado!$B$2:$B430, "=Morelos")</f>
        <v>1123</v>
      </c>
      <c r="C2" s="11">
        <f>SUMIFS(Concentrado!D$2:D430,Concentrado!$A$2:$A430,"="&amp;$A2,Concentrado!$B$2:$B430, "=Morelos")</f>
        <v>1005</v>
      </c>
      <c r="D2" s="11">
        <f>SUMIFS(Concentrado!E$2:E430,Concentrado!$A$2:$A430,"="&amp;$A2,Concentrado!$B$2:$B430, "=Morelos")</f>
        <v>900</v>
      </c>
      <c r="E2" s="11">
        <f>SUMIFS(Concentrado!F$2:F430,Concentrado!$A$2:$A430,"="&amp;$A2,Concentrado!$B$2:$B430, "=Morelos")</f>
        <v>53</v>
      </c>
      <c r="F2" s="11">
        <f>SUMIFS(Concentrado!G$2:G430,Concentrado!$A$2:$A430,"="&amp;$A2,Concentrado!$B$2:$B430, "=Morelos")</f>
        <v>32</v>
      </c>
    </row>
    <row r="3" spans="1:6" x14ac:dyDescent="0.25">
      <c r="A3" s="8">
        <v>2013</v>
      </c>
      <c r="B3" s="11">
        <f>SUMIFS(Concentrado!C$2:C431,Concentrado!$A$2:$A431,"="&amp;$A3,Concentrado!$B$2:$B431, "=Morelos")</f>
        <v>1188</v>
      </c>
      <c r="C3" s="11">
        <f>SUMIFS(Concentrado!D$2:D431,Concentrado!$A$2:$A431,"="&amp;$A3,Concentrado!$B$2:$B431, "=Morelos")</f>
        <v>1057</v>
      </c>
      <c r="D3" s="11">
        <f>SUMIFS(Concentrado!E$2:E431,Concentrado!$A$2:$A431,"="&amp;$A3,Concentrado!$B$2:$B431, "=Morelos")</f>
        <v>851</v>
      </c>
      <c r="E3" s="11">
        <f>SUMIFS(Concentrado!F$2:F431,Concentrado!$A$2:$A431,"="&amp;$A3,Concentrado!$B$2:$B431, "=Morelos")</f>
        <v>60</v>
      </c>
      <c r="F3" s="11">
        <f>SUMIFS(Concentrado!G$2:G431,Concentrado!$A$2:$A431,"="&amp;$A3,Concentrado!$B$2:$B431, "=Morelos")</f>
        <v>28</v>
      </c>
    </row>
    <row r="4" spans="1:6" x14ac:dyDescent="0.25">
      <c r="A4" s="8">
        <v>2014</v>
      </c>
      <c r="B4" s="11">
        <f>SUMIFS(Concentrado!C$2:C432,Concentrado!$A$2:$A432,"="&amp;$A4,Concentrado!$B$2:$B432, "=Morelos")</f>
        <v>1269</v>
      </c>
      <c r="C4" s="11">
        <f>SUMIFS(Concentrado!D$2:D432,Concentrado!$A$2:$A432,"="&amp;$A4,Concentrado!$B$2:$B432, "=Morelos")</f>
        <v>1063</v>
      </c>
      <c r="D4" s="11">
        <f>SUMIFS(Concentrado!E$2:E432,Concentrado!$A$2:$A432,"="&amp;$A4,Concentrado!$B$2:$B432, "=Morelos")</f>
        <v>939</v>
      </c>
      <c r="E4" s="11">
        <f>SUMIFS(Concentrado!F$2:F432,Concentrado!$A$2:$A432,"="&amp;$A4,Concentrado!$B$2:$B432, "=Morelos")</f>
        <v>62</v>
      </c>
      <c r="F4" s="11">
        <f>SUMIFS(Concentrado!G$2:G432,Concentrado!$A$2:$A432,"="&amp;$A4,Concentrado!$B$2:$B432, "=Morelos")</f>
        <v>29</v>
      </c>
    </row>
    <row r="5" spans="1:6" x14ac:dyDescent="0.25">
      <c r="A5" s="8">
        <v>2015</v>
      </c>
      <c r="B5" s="11">
        <f>SUMIFS(Concentrado!C$2:C433,Concentrado!$A$2:$A433,"="&amp;$A5,Concentrado!$B$2:$B433, "=Morelos")</f>
        <v>1311</v>
      </c>
      <c r="C5" s="11">
        <f>SUMIFS(Concentrado!D$2:D433,Concentrado!$A$2:$A433,"="&amp;$A5,Concentrado!$B$2:$B433, "=Morelos")</f>
        <v>1109</v>
      </c>
      <c r="D5" s="11">
        <f>SUMIFS(Concentrado!E$2:E433,Concentrado!$A$2:$A433,"="&amp;$A5,Concentrado!$B$2:$B433, "=Morelos")</f>
        <v>883</v>
      </c>
      <c r="E5" s="11">
        <f>SUMIFS(Concentrado!F$2:F433,Concentrado!$A$2:$A433,"="&amp;$A5,Concentrado!$B$2:$B433, "=Morelos")</f>
        <v>56</v>
      </c>
      <c r="F5" s="11">
        <f>SUMIFS(Concentrado!G$2:G433,Concentrado!$A$2:$A433,"="&amp;$A5,Concentrado!$B$2:$B433, "=Morelos")</f>
        <v>30</v>
      </c>
    </row>
    <row r="6" spans="1:6" x14ac:dyDescent="0.25">
      <c r="A6" s="8">
        <v>2016</v>
      </c>
      <c r="B6" s="11">
        <f>SUMIFS(Concentrado!C$2:C434,Concentrado!$A$2:$A434,"="&amp;$A6,Concentrado!$B$2:$B434, "=Morelos")</f>
        <v>1333</v>
      </c>
      <c r="C6" s="11">
        <f>SUMIFS(Concentrado!D$2:D434,Concentrado!$A$2:$A434,"="&amp;$A6,Concentrado!$B$2:$B434, "=Morelos")</f>
        <v>1113</v>
      </c>
      <c r="D6" s="11">
        <f>SUMIFS(Concentrado!E$2:E434,Concentrado!$A$2:$A434,"="&amp;$A6,Concentrado!$B$2:$B434, "=Morelos")</f>
        <v>885</v>
      </c>
      <c r="E6" s="11">
        <f>SUMIFS(Concentrado!F$2:F434,Concentrado!$A$2:$A434,"="&amp;$A6,Concentrado!$B$2:$B434, "=Morelos")</f>
        <v>59</v>
      </c>
      <c r="F6" s="11">
        <f>SUMIFS(Concentrado!G$2:G434,Concentrado!$A$2:$A434,"="&amp;$A6,Concentrado!$B$2:$B434, "=Morelos")</f>
        <v>30</v>
      </c>
    </row>
    <row r="7" spans="1:6" x14ac:dyDescent="0.25">
      <c r="A7" s="8">
        <v>2017</v>
      </c>
      <c r="B7" s="11">
        <f>SUMIFS(Concentrado!C$2:C435,Concentrado!$A$2:$A435,"="&amp;$A7,Concentrado!$B$2:$B435, "=Morelos")</f>
        <v>1230</v>
      </c>
      <c r="C7" s="11">
        <f>SUMIFS(Concentrado!D$2:D435,Concentrado!$A$2:$A435,"="&amp;$A7,Concentrado!$B$2:$B435, "=Morelos")</f>
        <v>1018</v>
      </c>
      <c r="D7" s="11">
        <f>SUMIFS(Concentrado!E$2:E435,Concentrado!$A$2:$A435,"="&amp;$A7,Concentrado!$B$2:$B435, "=Morelos")</f>
        <v>785</v>
      </c>
      <c r="E7" s="11">
        <f>SUMIFS(Concentrado!F$2:F435,Concentrado!$A$2:$A435,"="&amp;$A7,Concentrado!$B$2:$B435, "=Morelos")</f>
        <v>49</v>
      </c>
      <c r="F7" s="11">
        <f>SUMIFS(Concentrado!G$2:G435,Concentrado!$A$2:$A435,"="&amp;$A7,Concentrado!$B$2:$B435, "=Morelos")</f>
        <v>28</v>
      </c>
    </row>
    <row r="8" spans="1:6" x14ac:dyDescent="0.25">
      <c r="A8" s="8">
        <v>2018</v>
      </c>
      <c r="B8" s="11">
        <f>SUMIFS(Concentrado!C$2:C436,Concentrado!$A$2:$A436,"="&amp;$A8,Concentrado!$B$2:$B436, "=Morelos")</f>
        <v>1308</v>
      </c>
      <c r="C8" s="11">
        <f>SUMIFS(Concentrado!D$2:D436,Concentrado!$A$2:$A436,"="&amp;$A8,Concentrado!$B$2:$B436, "=Morelos")</f>
        <v>1047</v>
      </c>
      <c r="D8" s="11">
        <f>SUMIFS(Concentrado!E$2:E436,Concentrado!$A$2:$A436,"="&amp;$A8,Concentrado!$B$2:$B436, "=Morelos")</f>
        <v>800</v>
      </c>
      <c r="E8" s="11">
        <f>SUMIFS(Concentrado!F$2:F436,Concentrado!$A$2:$A436,"="&amp;$A8,Concentrado!$B$2:$B436, "=Morelos")</f>
        <v>60</v>
      </c>
      <c r="F8" s="11">
        <f>SUMIFS(Concentrado!G$2:G436,Concentrado!$A$2:$A436,"="&amp;$A8,Concentrado!$B$2:$B436, "=Morelos")</f>
        <v>30</v>
      </c>
    </row>
    <row r="9" spans="1:6" x14ac:dyDescent="0.25">
      <c r="A9" s="8">
        <v>2019</v>
      </c>
      <c r="B9" s="11">
        <f>SUMIFS(Concentrado!C$2:C437,Concentrado!$A$2:$A437,"="&amp;$A9,Concentrado!$B$2:$B437, "=Morelos")</f>
        <v>1255</v>
      </c>
      <c r="C9" s="11">
        <f>SUMIFS(Concentrado!D$2:D437,Concentrado!$A$2:$A437,"="&amp;$A9,Concentrado!$B$2:$B437, "=Morelos")</f>
        <v>1042</v>
      </c>
      <c r="D9" s="11">
        <f>SUMIFS(Concentrado!E$2:E437,Concentrado!$A$2:$A437,"="&amp;$A9,Concentrado!$B$2:$B437, "=Morelos")</f>
        <v>743</v>
      </c>
      <c r="E9" s="11">
        <f>SUMIFS(Concentrado!F$2:F437,Concentrado!$A$2:$A437,"="&amp;$A9,Concentrado!$B$2:$B437, "=Morelos")</f>
        <v>54</v>
      </c>
      <c r="F9" s="11">
        <f>SUMIFS(Concentrado!G$2:G437,Concentrado!$A$2:$A437,"="&amp;$A9,Concentrado!$B$2:$B437, "=Morelos")</f>
        <v>30</v>
      </c>
    </row>
    <row r="10" spans="1:6" x14ac:dyDescent="0.25">
      <c r="A10" s="8">
        <v>2020</v>
      </c>
      <c r="B10" s="11">
        <f>SUMIFS(Concentrado!C$2:C438,Concentrado!$A$2:$A438,"="&amp;$A10,Concentrado!$B$2:$B438, "=Morelos")</f>
        <v>1283</v>
      </c>
      <c r="C10" s="11">
        <f>SUMIFS(Concentrado!D$2:D438,Concentrado!$A$2:$A438,"="&amp;$A10,Concentrado!$B$2:$B438, "=Morelos")</f>
        <v>1056</v>
      </c>
      <c r="D10" s="11">
        <f>SUMIFS(Concentrado!E$2:E438,Concentrado!$A$2:$A438,"="&amp;$A10,Concentrado!$B$2:$B438, "=Morelos")</f>
        <v>675</v>
      </c>
      <c r="E10" s="11">
        <f>SUMIFS(Concentrado!F$2:F438,Concentrado!$A$2:$A438,"="&amp;$A10,Concentrado!$B$2:$B438, "=Morelos")</f>
        <v>55</v>
      </c>
      <c r="F10" s="11">
        <f>SUMIFS(Concentrado!G$2:G438,Concentrado!$A$2:$A438,"="&amp;$A10,Concentrado!$B$2:$B438, "=Morelos")</f>
        <v>29</v>
      </c>
    </row>
    <row r="11" spans="1:6" x14ac:dyDescent="0.25">
      <c r="A11" s="8">
        <v>2021</v>
      </c>
      <c r="B11" s="11">
        <f>SUMIFS(Concentrado!C$2:C439,Concentrado!$A$2:$A439,"="&amp;$A11,Concentrado!$B$2:$B439, "=Morelos")</f>
        <v>1375</v>
      </c>
      <c r="C11" s="11">
        <f>SUMIFS(Concentrado!D$2:D439,Concentrado!$A$2:$A439,"="&amp;$A11,Concentrado!$B$2:$B439, "=Morelos")</f>
        <v>1068</v>
      </c>
      <c r="D11" s="11">
        <f>SUMIFS(Concentrado!E$2:E439,Concentrado!$A$2:$A439,"="&amp;$A11,Concentrado!$B$2:$B439, "=Morelos")</f>
        <v>754</v>
      </c>
      <c r="E11" s="11">
        <f>SUMIFS(Concentrado!F$2:F439,Concentrado!$A$2:$A439,"="&amp;$A11,Concentrado!$B$2:$B439, "=Morelos")</f>
        <v>50</v>
      </c>
      <c r="F11" s="11">
        <f>SUMIFS(Concentrado!G$2:G439,Concentrado!$A$2:$A439,"="&amp;$A11,Concentrado!$B$2:$B439, "=Morelos")</f>
        <v>31</v>
      </c>
    </row>
    <row r="12" spans="1:6" x14ac:dyDescent="0.25">
      <c r="A12" s="8">
        <v>2022</v>
      </c>
      <c r="B12" s="11">
        <f>SUMIFS(Concentrado!C$2:C440,Concentrado!$A$2:$A440,"="&amp;$A12,Concentrado!$B$2:$B440, "=Morelos")</f>
        <v>1582</v>
      </c>
      <c r="C12" s="11">
        <f>SUMIFS(Concentrado!D$2:D440,Concentrado!$A$2:$A440,"="&amp;$A12,Concentrado!$B$2:$B440, "=Morelos")</f>
        <v>1175</v>
      </c>
      <c r="D12" s="11">
        <f>SUMIFS(Concentrado!E$2:E440,Concentrado!$A$2:$A440,"="&amp;$A12,Concentrado!$B$2:$B440, "=Morelos")</f>
        <v>768</v>
      </c>
      <c r="E12" s="11">
        <f>SUMIFS(Concentrado!F$2:F440,Concentrado!$A$2:$A440,"="&amp;$A12,Concentrado!$B$2:$B440, "=Morelos")</f>
        <v>57</v>
      </c>
      <c r="F12" s="11">
        <f>SUMIFS(Concentrado!G$2:G440,Concentrado!$A$2:$A440,"="&amp;$A12,Concentrado!$B$2:$B440, "=Morelos")</f>
        <v>32</v>
      </c>
    </row>
    <row r="13" spans="1:6" x14ac:dyDescent="0.25">
      <c r="A13" s="8">
        <v>2023</v>
      </c>
      <c r="B13" s="11">
        <f>SUMIFS(Concentrado!C$2:C441,Concentrado!$A$2:$A441,"="&amp;$A13,Concentrado!$B$2:$B441, "=Morelos")</f>
        <v>1580</v>
      </c>
      <c r="C13" s="11">
        <f>SUMIFS(Concentrado!D$2:D441,Concentrado!$A$2:$A441,"="&amp;$A13,Concentrado!$B$2:$B441, "=Morelos")</f>
        <v>1196</v>
      </c>
      <c r="D13" s="11">
        <f>SUMIFS(Concentrado!E$2:E441,Concentrado!$A$2:$A441,"="&amp;$A13,Concentrado!$B$2:$B441, "=Morelos")</f>
        <v>783</v>
      </c>
      <c r="E13" s="11">
        <f>SUMIFS(Concentrado!F$2:F441,Concentrado!$A$2:$A441,"="&amp;$A13,Concentrado!$B$2:$B441, "=Morelos")</f>
        <v>61</v>
      </c>
      <c r="F13" s="11">
        <f>SUMIFS(Concentrado!G$2:G441,Concentrado!$A$2:$A441,"="&amp;$A13,Concentrado!$B$2:$B441, "=Morelos")</f>
        <v>32</v>
      </c>
    </row>
    <row r="14" spans="1:6" x14ac:dyDescent="0.25">
      <c r="A14" s="8">
        <v>2024</v>
      </c>
      <c r="B14" s="11">
        <f>SUMIFS(Concentrado!C$2:C442,Concentrado!$A$2:$A442,"="&amp;$A14,Concentrado!$B$2:$B442, "=Morelos")</f>
        <v>1605</v>
      </c>
      <c r="C14" s="11">
        <f>SUMIFS(Concentrado!D$2:D442,Concentrado!$A$2:$A442,"="&amp;$A14,Concentrado!$B$2:$B442, "=Morelos")</f>
        <v>1221</v>
      </c>
      <c r="D14" s="11">
        <f>SUMIFS(Concentrado!E$2:E442,Concentrado!$A$2:$A442,"="&amp;$A14,Concentrado!$B$2:$B442, "=Morelos")</f>
        <v>825</v>
      </c>
      <c r="E14" s="11">
        <f>SUMIFS(Concentrado!F$2:F442,Concentrado!$A$2:$A442,"="&amp;$A14,Concentrado!$B$2:$B442, "=Morelos")</f>
        <v>57</v>
      </c>
      <c r="F14" s="11">
        <f>SUMIFS(Concentrado!G$2:G442,Concentrado!$A$2:$A442,"="&amp;$A14,Concentrado!$B$2:$B442, "=Morelos")</f>
        <v>32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zoomScale="112" zoomScaleNormal="112" workbookViewId="0">
      <selection activeCell="F14" sqref="F14"/>
    </sheetView>
  </sheetViews>
  <sheetFormatPr baseColWidth="10" defaultRowHeight="15" x14ac:dyDescent="0.25"/>
  <cols>
    <col min="1" max="1" width="12.140625" customWidth="1"/>
    <col min="2" max="2" width="13.28515625" bestFit="1" customWidth="1"/>
    <col min="3" max="3" width="12.42578125" bestFit="1" customWidth="1"/>
    <col min="4" max="4" width="19.140625" customWidth="1"/>
    <col min="5" max="5" width="12.28515625" bestFit="1" customWidth="1"/>
    <col min="6" max="6" width="12" bestFit="1" customWidth="1"/>
  </cols>
  <sheetData>
    <row r="1" spans="1:6" s="4" customFormat="1" ht="42.75" x14ac:dyDescent="0.2">
      <c r="A1" s="1" t="s">
        <v>0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</row>
    <row r="2" spans="1:6" x14ac:dyDescent="0.25">
      <c r="A2" s="8">
        <v>2012</v>
      </c>
      <c r="B2" s="11">
        <f>SUMIFS(Concentrado!C$2:C430,Concentrado!$A$2:$A430,"="&amp;$A2,Concentrado!$B$2:$B430, "=Nayarit")</f>
        <v>908</v>
      </c>
      <c r="C2" s="11">
        <f>SUMIFS(Concentrado!D$2:D430,Concentrado!$A$2:$A430,"="&amp;$A2,Concentrado!$B$2:$B430, "=Nayarit")</f>
        <v>727</v>
      </c>
      <c r="D2" s="11">
        <f>SUMIFS(Concentrado!E$2:E430,Concentrado!$A$2:$A430,"="&amp;$A2,Concentrado!$B$2:$B430, "=Nayarit")</f>
        <v>820</v>
      </c>
      <c r="E2" s="11">
        <f>SUMIFS(Concentrado!F$2:F430,Concentrado!$A$2:$A430,"="&amp;$A2,Concentrado!$B$2:$B430, "=Nayarit")</f>
        <v>36</v>
      </c>
      <c r="F2" s="11">
        <f>SUMIFS(Concentrado!G$2:G430,Concentrado!$A$2:$A430,"="&amp;$A2,Concentrado!$B$2:$B430, "=Nayarit")</f>
        <v>27</v>
      </c>
    </row>
    <row r="3" spans="1:6" x14ac:dyDescent="0.25">
      <c r="A3" s="8">
        <v>2013</v>
      </c>
      <c r="B3" s="11">
        <f>SUMIFS(Concentrado!C$2:C431,Concentrado!$A$2:$A431,"="&amp;$A3,Concentrado!$B$2:$B431, "=Nayarit")</f>
        <v>976</v>
      </c>
      <c r="C3" s="11">
        <f>SUMIFS(Concentrado!D$2:D431,Concentrado!$A$2:$A431,"="&amp;$A3,Concentrado!$B$2:$B431, "=Nayarit")</f>
        <v>742</v>
      </c>
      <c r="D3" s="11">
        <f>SUMIFS(Concentrado!E$2:E431,Concentrado!$A$2:$A431,"="&amp;$A3,Concentrado!$B$2:$B431, "=Nayarit")</f>
        <v>822</v>
      </c>
      <c r="E3" s="11">
        <f>SUMIFS(Concentrado!F$2:F431,Concentrado!$A$2:$A431,"="&amp;$A3,Concentrado!$B$2:$B431, "=Nayarit")</f>
        <v>40</v>
      </c>
      <c r="F3" s="11">
        <f>SUMIFS(Concentrado!G$2:G431,Concentrado!$A$2:$A431,"="&amp;$A3,Concentrado!$B$2:$B431, "=Nayarit")</f>
        <v>26</v>
      </c>
    </row>
    <row r="4" spans="1:6" x14ac:dyDescent="0.25">
      <c r="A4" s="8">
        <v>2014</v>
      </c>
      <c r="B4" s="11">
        <f>SUMIFS(Concentrado!C$2:C432,Concentrado!$A$2:$A432,"="&amp;$A4,Concentrado!$B$2:$B432, "=Nayarit")</f>
        <v>1009</v>
      </c>
      <c r="C4" s="11">
        <f>SUMIFS(Concentrado!D$2:D432,Concentrado!$A$2:$A432,"="&amp;$A4,Concentrado!$B$2:$B432, "=Nayarit")</f>
        <v>732</v>
      </c>
      <c r="D4" s="11">
        <f>SUMIFS(Concentrado!E$2:E432,Concentrado!$A$2:$A432,"="&amp;$A4,Concentrado!$B$2:$B432, "=Nayarit")</f>
        <v>821</v>
      </c>
      <c r="E4" s="11">
        <f>SUMIFS(Concentrado!F$2:F432,Concentrado!$A$2:$A432,"="&amp;$A4,Concentrado!$B$2:$B432, "=Nayarit")</f>
        <v>39</v>
      </c>
      <c r="F4" s="11">
        <f>SUMIFS(Concentrado!G$2:G432,Concentrado!$A$2:$A432,"="&amp;$A4,Concentrado!$B$2:$B432, "=Nayarit")</f>
        <v>25</v>
      </c>
    </row>
    <row r="5" spans="1:6" x14ac:dyDescent="0.25">
      <c r="A5" s="8">
        <v>2015</v>
      </c>
      <c r="B5" s="11">
        <f>SUMIFS(Concentrado!C$2:C433,Concentrado!$A$2:$A433,"="&amp;$A5,Concentrado!$B$2:$B433, "=Nayarit")</f>
        <v>1078</v>
      </c>
      <c r="C5" s="11">
        <f>SUMIFS(Concentrado!D$2:D433,Concentrado!$A$2:$A433,"="&amp;$A5,Concentrado!$B$2:$B433, "=Nayarit")</f>
        <v>741</v>
      </c>
      <c r="D5" s="11">
        <f>SUMIFS(Concentrado!E$2:E433,Concentrado!$A$2:$A433,"="&amp;$A5,Concentrado!$B$2:$B433, "=Nayarit")</f>
        <v>699</v>
      </c>
      <c r="E5" s="11">
        <f>SUMIFS(Concentrado!F$2:F433,Concentrado!$A$2:$A433,"="&amp;$A5,Concentrado!$B$2:$B433, "=Nayarit")</f>
        <v>39</v>
      </c>
      <c r="F5" s="11">
        <f>SUMIFS(Concentrado!G$2:G433,Concentrado!$A$2:$A433,"="&amp;$A5,Concentrado!$B$2:$B433, "=Nayarit")</f>
        <v>28</v>
      </c>
    </row>
    <row r="6" spans="1:6" x14ac:dyDescent="0.25">
      <c r="A6" s="8">
        <v>2016</v>
      </c>
      <c r="B6" s="11">
        <f>SUMIFS(Concentrado!C$2:C434,Concentrado!$A$2:$A434,"="&amp;$A6,Concentrado!$B$2:$B434, "=Nayarit")</f>
        <v>1077</v>
      </c>
      <c r="C6" s="11">
        <f>SUMIFS(Concentrado!D$2:D434,Concentrado!$A$2:$A434,"="&amp;$A6,Concentrado!$B$2:$B434, "=Nayarit")</f>
        <v>748</v>
      </c>
      <c r="D6" s="11">
        <f>SUMIFS(Concentrado!E$2:E434,Concentrado!$A$2:$A434,"="&amp;$A6,Concentrado!$B$2:$B434, "=Nayarit")</f>
        <v>724</v>
      </c>
      <c r="E6" s="11">
        <f>SUMIFS(Concentrado!F$2:F434,Concentrado!$A$2:$A434,"="&amp;$A6,Concentrado!$B$2:$B434, "=Nayarit")</f>
        <v>38</v>
      </c>
      <c r="F6" s="11">
        <f>SUMIFS(Concentrado!G$2:G434,Concentrado!$A$2:$A434,"="&amp;$A6,Concentrado!$B$2:$B434, "=Nayarit")</f>
        <v>30</v>
      </c>
    </row>
    <row r="7" spans="1:6" x14ac:dyDescent="0.25">
      <c r="A7" s="8">
        <v>2017</v>
      </c>
      <c r="B7" s="11">
        <f>SUMIFS(Concentrado!C$2:C435,Concentrado!$A$2:$A435,"="&amp;$A7,Concentrado!$B$2:$B435, "=Nayarit")</f>
        <v>1022</v>
      </c>
      <c r="C7" s="11">
        <f>SUMIFS(Concentrado!D$2:D435,Concentrado!$A$2:$A435,"="&amp;$A7,Concentrado!$B$2:$B435, "=Nayarit")</f>
        <v>704</v>
      </c>
      <c r="D7" s="11">
        <f>SUMIFS(Concentrado!E$2:E435,Concentrado!$A$2:$A435,"="&amp;$A7,Concentrado!$B$2:$B435, "=Nayarit")</f>
        <v>696</v>
      </c>
      <c r="E7" s="11">
        <f>SUMIFS(Concentrado!F$2:F435,Concentrado!$A$2:$A435,"="&amp;$A7,Concentrado!$B$2:$B435, "=Nayarit")</f>
        <v>37</v>
      </c>
      <c r="F7" s="11">
        <f>SUMIFS(Concentrado!G$2:G435,Concentrado!$A$2:$A435,"="&amp;$A7,Concentrado!$B$2:$B435, "=Nayarit")</f>
        <v>24</v>
      </c>
    </row>
    <row r="8" spans="1:6" x14ac:dyDescent="0.25">
      <c r="A8" s="8">
        <v>2018</v>
      </c>
      <c r="B8" s="11">
        <f>SUMIFS(Concentrado!C$2:C436,Concentrado!$A$2:$A436,"="&amp;$A8,Concentrado!$B$2:$B436, "=Nayarit")</f>
        <v>1043</v>
      </c>
      <c r="C8" s="11">
        <f>SUMIFS(Concentrado!D$2:D436,Concentrado!$A$2:$A436,"="&amp;$A8,Concentrado!$B$2:$B436, "=Nayarit")</f>
        <v>714</v>
      </c>
      <c r="D8" s="11">
        <f>SUMIFS(Concentrado!E$2:E436,Concentrado!$A$2:$A436,"="&amp;$A8,Concentrado!$B$2:$B436, "=Nayarit")</f>
        <v>752</v>
      </c>
      <c r="E8" s="11">
        <f>SUMIFS(Concentrado!F$2:F436,Concentrado!$A$2:$A436,"="&amp;$A8,Concentrado!$B$2:$B436, "=Nayarit")</f>
        <v>38</v>
      </c>
      <c r="F8" s="11">
        <f>SUMIFS(Concentrado!G$2:G436,Concentrado!$A$2:$A436,"="&amp;$A8,Concentrado!$B$2:$B436, "=Nayarit")</f>
        <v>24</v>
      </c>
    </row>
    <row r="9" spans="1:6" x14ac:dyDescent="0.25">
      <c r="A9" s="8">
        <v>2019</v>
      </c>
      <c r="B9" s="11">
        <f>SUMIFS(Concentrado!C$2:C437,Concentrado!$A$2:$A437,"="&amp;$A9,Concentrado!$B$2:$B437, "=Nayarit")</f>
        <v>995</v>
      </c>
      <c r="C9" s="11">
        <f>SUMIFS(Concentrado!D$2:D437,Concentrado!$A$2:$A437,"="&amp;$A9,Concentrado!$B$2:$B437, "=Nayarit")</f>
        <v>689</v>
      </c>
      <c r="D9" s="11">
        <f>SUMIFS(Concentrado!E$2:E437,Concentrado!$A$2:$A437,"="&amp;$A9,Concentrado!$B$2:$B437, "=Nayarit")</f>
        <v>722</v>
      </c>
      <c r="E9" s="11">
        <f>SUMIFS(Concentrado!F$2:F437,Concentrado!$A$2:$A437,"="&amp;$A9,Concentrado!$B$2:$B437, "=Nayarit")</f>
        <v>37</v>
      </c>
      <c r="F9" s="11">
        <f>SUMIFS(Concentrado!G$2:G437,Concentrado!$A$2:$A437,"="&amp;$A9,Concentrado!$B$2:$B437, "=Nayarit")</f>
        <v>21</v>
      </c>
    </row>
    <row r="10" spans="1:6" x14ac:dyDescent="0.25">
      <c r="A10" s="8">
        <v>2020</v>
      </c>
      <c r="B10" s="11">
        <f>SUMIFS(Concentrado!C$2:C438,Concentrado!$A$2:$A438,"="&amp;$A10,Concentrado!$B$2:$B438, "=Nayarit")</f>
        <v>1118</v>
      </c>
      <c r="C10" s="11">
        <f>SUMIFS(Concentrado!D$2:D438,Concentrado!$A$2:$A438,"="&amp;$A10,Concentrado!$B$2:$B438, "=Nayarit")</f>
        <v>718</v>
      </c>
      <c r="D10" s="11">
        <f>SUMIFS(Concentrado!E$2:E438,Concentrado!$A$2:$A438,"="&amp;$A10,Concentrado!$B$2:$B438, "=Nayarit")</f>
        <v>660</v>
      </c>
      <c r="E10" s="11">
        <f>SUMIFS(Concentrado!F$2:F438,Concentrado!$A$2:$A438,"="&amp;$A10,Concentrado!$B$2:$B438, "=Nayarit")</f>
        <v>33</v>
      </c>
      <c r="F10" s="11">
        <f>SUMIFS(Concentrado!G$2:G438,Concentrado!$A$2:$A438,"="&amp;$A10,Concentrado!$B$2:$B438, "=Nayarit")</f>
        <v>23</v>
      </c>
    </row>
    <row r="11" spans="1:6" x14ac:dyDescent="0.25">
      <c r="A11" s="8">
        <v>2021</v>
      </c>
      <c r="B11" s="11">
        <f>SUMIFS(Concentrado!C$2:C439,Concentrado!$A$2:$A439,"="&amp;$A11,Concentrado!$B$2:$B439, "=Nayarit")</f>
        <v>1107</v>
      </c>
      <c r="C11" s="11">
        <f>SUMIFS(Concentrado!D$2:D439,Concentrado!$A$2:$A439,"="&amp;$A11,Concentrado!$B$2:$B439, "=Nayarit")</f>
        <v>891</v>
      </c>
      <c r="D11" s="11">
        <f>SUMIFS(Concentrado!E$2:E439,Concentrado!$A$2:$A439,"="&amp;$A11,Concentrado!$B$2:$B439, "=Nayarit")</f>
        <v>720</v>
      </c>
      <c r="E11" s="11">
        <f>SUMIFS(Concentrado!F$2:F439,Concentrado!$A$2:$A439,"="&amp;$A11,Concentrado!$B$2:$B439, "=Nayarit")</f>
        <v>42</v>
      </c>
      <c r="F11" s="11">
        <f>SUMIFS(Concentrado!G$2:G439,Concentrado!$A$2:$A439,"="&amp;$A11,Concentrado!$B$2:$B439, "=Nayarit")</f>
        <v>24</v>
      </c>
    </row>
    <row r="12" spans="1:6" x14ac:dyDescent="0.25">
      <c r="A12" s="8">
        <v>2022</v>
      </c>
      <c r="B12" s="11">
        <f>SUMIFS(Concentrado!C$2:C440,Concentrado!$A$2:$A440,"="&amp;$A12,Concentrado!$B$2:$B440, "=Nayarit")</f>
        <v>1160</v>
      </c>
      <c r="C12" s="11">
        <f>SUMIFS(Concentrado!D$2:D440,Concentrado!$A$2:$A440,"="&amp;$A12,Concentrado!$B$2:$B440, "=Nayarit")</f>
        <v>907</v>
      </c>
      <c r="D12" s="11">
        <f>SUMIFS(Concentrado!E$2:E440,Concentrado!$A$2:$A440,"="&amp;$A12,Concentrado!$B$2:$B440, "=Nayarit")</f>
        <v>720</v>
      </c>
      <c r="E12" s="11">
        <f>SUMIFS(Concentrado!F$2:F440,Concentrado!$A$2:$A440,"="&amp;$A12,Concentrado!$B$2:$B440, "=Nayarit")</f>
        <v>55</v>
      </c>
      <c r="F12" s="11">
        <f>SUMIFS(Concentrado!G$2:G440,Concentrado!$A$2:$A440,"="&amp;$A12,Concentrado!$B$2:$B440, "=Nayarit")</f>
        <v>28</v>
      </c>
    </row>
    <row r="13" spans="1:6" x14ac:dyDescent="0.25">
      <c r="A13" s="8">
        <v>2023</v>
      </c>
      <c r="B13" s="11">
        <f>SUMIFS(Concentrado!C$2:C441,Concentrado!$A$2:$A441,"="&amp;$A13,Concentrado!$B$2:$B441, "=Nayarit")</f>
        <v>1219</v>
      </c>
      <c r="C13" s="11">
        <f>SUMIFS(Concentrado!D$2:D441,Concentrado!$A$2:$A441,"="&amp;$A13,Concentrado!$B$2:$B441, "=Nayarit")</f>
        <v>992</v>
      </c>
      <c r="D13" s="11">
        <f>SUMIFS(Concentrado!E$2:E441,Concentrado!$A$2:$A441,"="&amp;$A13,Concentrado!$B$2:$B441, "=Nayarit")</f>
        <v>789</v>
      </c>
      <c r="E13" s="11">
        <f>SUMIFS(Concentrado!F$2:F441,Concentrado!$A$2:$A441,"="&amp;$A13,Concentrado!$B$2:$B441, "=Nayarit")</f>
        <v>55</v>
      </c>
      <c r="F13" s="11">
        <f>SUMIFS(Concentrado!G$2:G441,Concentrado!$A$2:$A441,"="&amp;$A13,Concentrado!$B$2:$B441, "=Nayarit")</f>
        <v>26</v>
      </c>
    </row>
    <row r="14" spans="1:6" x14ac:dyDescent="0.25">
      <c r="A14" s="8">
        <v>2024</v>
      </c>
      <c r="B14" s="11">
        <f>SUMIFS(Concentrado!C$2:C442,Concentrado!$A$2:$A442,"="&amp;$A14,Concentrado!$B$2:$B442, "=Nayarit")</f>
        <v>1296</v>
      </c>
      <c r="C14" s="11">
        <f>SUMIFS(Concentrado!D$2:D442,Concentrado!$A$2:$A442,"="&amp;$A14,Concentrado!$B$2:$B442, "=Nayarit")</f>
        <v>1052</v>
      </c>
      <c r="D14" s="11">
        <f>SUMIFS(Concentrado!E$2:E442,Concentrado!$A$2:$A442,"="&amp;$A14,Concentrado!$B$2:$B442, "=Nayarit")</f>
        <v>851</v>
      </c>
      <c r="E14" s="11">
        <f>SUMIFS(Concentrado!F$2:F442,Concentrado!$A$2:$A442,"="&amp;$A14,Concentrado!$B$2:$B442, "=Nayarit")</f>
        <v>62</v>
      </c>
      <c r="F14" s="11">
        <f>SUMIFS(Concentrado!G$2:G442,Concentrado!$A$2:$A442,"="&amp;$A14,Concentrado!$B$2:$B442, "=Nayarit")</f>
        <v>35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zoomScale="112" zoomScaleNormal="112" workbookViewId="0">
      <selection activeCell="F14" sqref="F14"/>
    </sheetView>
  </sheetViews>
  <sheetFormatPr baseColWidth="10" defaultRowHeight="15" x14ac:dyDescent="0.25"/>
  <cols>
    <col min="1" max="1" width="12.140625" customWidth="1"/>
    <col min="2" max="2" width="13.28515625" bestFit="1" customWidth="1"/>
    <col min="3" max="3" width="12.42578125" bestFit="1" customWidth="1"/>
    <col min="4" max="4" width="19.140625" customWidth="1"/>
    <col min="5" max="5" width="12.28515625" bestFit="1" customWidth="1"/>
    <col min="6" max="6" width="12" bestFit="1" customWidth="1"/>
  </cols>
  <sheetData>
    <row r="1" spans="1:6" s="4" customFormat="1" ht="42.75" x14ac:dyDescent="0.2">
      <c r="A1" s="1" t="s">
        <v>0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</row>
    <row r="2" spans="1:6" x14ac:dyDescent="0.25">
      <c r="A2" s="8">
        <v>2012</v>
      </c>
      <c r="B2" s="11">
        <f>SUMIFS(Concentrado!C$2:C430,Concentrado!$A$2:$A430,"="&amp;$A2,Concentrado!$B$2:$B430, "=Nuevo León")</f>
        <v>2436</v>
      </c>
      <c r="C2" s="11">
        <f>SUMIFS(Concentrado!D$2:D430,Concentrado!$A$2:$A430,"="&amp;$A2,Concentrado!$B$2:$B430, "=Nuevo León")</f>
        <v>3442</v>
      </c>
      <c r="D2" s="11">
        <f>SUMIFS(Concentrado!E$2:E430,Concentrado!$A$2:$A430,"="&amp;$A2,Concentrado!$B$2:$B430, "=Nuevo León")</f>
        <v>1468</v>
      </c>
      <c r="E2" s="11">
        <f>SUMIFS(Concentrado!F$2:F430,Concentrado!$A$2:$A430,"="&amp;$A2,Concentrado!$B$2:$B430, "=Nuevo León")</f>
        <v>123</v>
      </c>
      <c r="F2" s="11">
        <f>SUMIFS(Concentrado!G$2:G430,Concentrado!$A$2:$A430,"="&amp;$A2,Concentrado!$B$2:$B430, "=Nuevo León")</f>
        <v>38</v>
      </c>
    </row>
    <row r="3" spans="1:6" x14ac:dyDescent="0.25">
      <c r="A3" s="8">
        <v>2013</v>
      </c>
      <c r="B3" s="11">
        <f>SUMIFS(Concentrado!C$2:C431,Concentrado!$A$2:$A431,"="&amp;$A3,Concentrado!$B$2:$B431, "=Nuevo León")</f>
        <v>3017</v>
      </c>
      <c r="C3" s="11">
        <f>SUMIFS(Concentrado!D$2:D431,Concentrado!$A$2:$A431,"="&amp;$A3,Concentrado!$B$2:$B431, "=Nuevo León")</f>
        <v>4077</v>
      </c>
      <c r="D3" s="11">
        <f>SUMIFS(Concentrado!E$2:E431,Concentrado!$A$2:$A431,"="&amp;$A3,Concentrado!$B$2:$B431, "=Nuevo León")</f>
        <v>2073</v>
      </c>
      <c r="E3" s="11">
        <f>SUMIFS(Concentrado!F$2:F431,Concentrado!$A$2:$A431,"="&amp;$A3,Concentrado!$B$2:$B431, "=Nuevo León")</f>
        <v>164</v>
      </c>
      <c r="F3" s="11">
        <f>SUMIFS(Concentrado!G$2:G431,Concentrado!$A$2:$A431,"="&amp;$A3,Concentrado!$B$2:$B431, "=Nuevo León")</f>
        <v>40</v>
      </c>
    </row>
    <row r="4" spans="1:6" x14ac:dyDescent="0.25">
      <c r="A4" s="8">
        <v>2014</v>
      </c>
      <c r="B4" s="11">
        <f>SUMIFS(Concentrado!C$2:C432,Concentrado!$A$2:$A432,"="&amp;$A4,Concentrado!$B$2:$B432, "=Nuevo León")</f>
        <v>3072</v>
      </c>
      <c r="C4" s="11">
        <f>SUMIFS(Concentrado!D$2:D432,Concentrado!$A$2:$A432,"="&amp;$A4,Concentrado!$B$2:$B432, "=Nuevo León")</f>
        <v>4172</v>
      </c>
      <c r="D4" s="11">
        <f>SUMIFS(Concentrado!E$2:E432,Concentrado!$A$2:$A432,"="&amp;$A4,Concentrado!$B$2:$B432, "=Nuevo León")</f>
        <v>2415</v>
      </c>
      <c r="E4" s="11">
        <f>SUMIFS(Concentrado!F$2:F432,Concentrado!$A$2:$A432,"="&amp;$A4,Concentrado!$B$2:$B432, "=Nuevo León")</f>
        <v>174</v>
      </c>
      <c r="F4" s="11">
        <f>SUMIFS(Concentrado!G$2:G432,Concentrado!$A$2:$A432,"="&amp;$A4,Concentrado!$B$2:$B432, "=Nuevo León")</f>
        <v>41</v>
      </c>
    </row>
    <row r="5" spans="1:6" x14ac:dyDescent="0.25">
      <c r="A5" s="8">
        <v>2015</v>
      </c>
      <c r="B5" s="11">
        <f>SUMIFS(Concentrado!C$2:C433,Concentrado!$A$2:$A433,"="&amp;$A5,Concentrado!$B$2:$B433, "=Nuevo León")</f>
        <v>3117</v>
      </c>
      <c r="C5" s="11">
        <f>SUMIFS(Concentrado!D$2:D433,Concentrado!$A$2:$A433,"="&amp;$A5,Concentrado!$B$2:$B433, "=Nuevo León")</f>
        <v>4153</v>
      </c>
      <c r="D5" s="11">
        <f>SUMIFS(Concentrado!E$2:E433,Concentrado!$A$2:$A433,"="&amp;$A5,Concentrado!$B$2:$B433, "=Nuevo León")</f>
        <v>2174</v>
      </c>
      <c r="E5" s="11">
        <f>SUMIFS(Concentrado!F$2:F433,Concentrado!$A$2:$A433,"="&amp;$A5,Concentrado!$B$2:$B433, "=Nuevo León")</f>
        <v>167</v>
      </c>
      <c r="F5" s="11">
        <f>SUMIFS(Concentrado!G$2:G433,Concentrado!$A$2:$A433,"="&amp;$A5,Concentrado!$B$2:$B433, "=Nuevo León")</f>
        <v>42</v>
      </c>
    </row>
    <row r="6" spans="1:6" x14ac:dyDescent="0.25">
      <c r="A6" s="8">
        <v>2016</v>
      </c>
      <c r="B6" s="11">
        <f>SUMIFS(Concentrado!C$2:C434,Concentrado!$A$2:$A434,"="&amp;$A6,Concentrado!$B$2:$B434, "=Nuevo León")</f>
        <v>3084</v>
      </c>
      <c r="C6" s="11">
        <f>SUMIFS(Concentrado!D$2:D434,Concentrado!$A$2:$A434,"="&amp;$A6,Concentrado!$B$2:$B434, "=Nuevo León")</f>
        <v>4153</v>
      </c>
      <c r="D6" s="11">
        <f>SUMIFS(Concentrado!E$2:E434,Concentrado!$A$2:$A434,"="&amp;$A6,Concentrado!$B$2:$B434, "=Nuevo León")</f>
        <v>2216</v>
      </c>
      <c r="E6" s="11">
        <f>SUMIFS(Concentrado!F$2:F434,Concentrado!$A$2:$A434,"="&amp;$A6,Concentrado!$B$2:$B434, "=Nuevo León")</f>
        <v>166</v>
      </c>
      <c r="F6" s="11">
        <f>SUMIFS(Concentrado!G$2:G434,Concentrado!$A$2:$A434,"="&amp;$A6,Concentrado!$B$2:$B434, "=Nuevo León")</f>
        <v>36</v>
      </c>
    </row>
    <row r="7" spans="1:6" x14ac:dyDescent="0.25">
      <c r="A7" s="8">
        <v>2017</v>
      </c>
      <c r="B7" s="11">
        <f>SUMIFS(Concentrado!C$2:C435,Concentrado!$A$2:$A435,"="&amp;$A7,Concentrado!$B$2:$B435, "=Nuevo León")</f>
        <v>3073</v>
      </c>
      <c r="C7" s="11">
        <f>SUMIFS(Concentrado!D$2:D435,Concentrado!$A$2:$A435,"="&amp;$A7,Concentrado!$B$2:$B435, "=Nuevo León")</f>
        <v>4163</v>
      </c>
      <c r="D7" s="11">
        <f>SUMIFS(Concentrado!E$2:E435,Concentrado!$A$2:$A435,"="&amp;$A7,Concentrado!$B$2:$B435, "=Nuevo León")</f>
        <v>1677</v>
      </c>
      <c r="E7" s="11">
        <f>SUMIFS(Concentrado!F$2:F435,Concentrado!$A$2:$A435,"="&amp;$A7,Concentrado!$B$2:$B435, "=Nuevo León")</f>
        <v>169</v>
      </c>
      <c r="F7" s="11">
        <f>SUMIFS(Concentrado!G$2:G435,Concentrado!$A$2:$A435,"="&amp;$A7,Concentrado!$B$2:$B435, "=Nuevo León")</f>
        <v>34</v>
      </c>
    </row>
    <row r="8" spans="1:6" x14ac:dyDescent="0.25">
      <c r="A8" s="8">
        <v>2018</v>
      </c>
      <c r="B8" s="11">
        <f>SUMIFS(Concentrado!C$2:C436,Concentrado!$A$2:$A436,"="&amp;$A8,Concentrado!$B$2:$B436, "=Nuevo León")</f>
        <v>3295</v>
      </c>
      <c r="C8" s="11">
        <f>SUMIFS(Concentrado!D$2:D436,Concentrado!$A$2:$A436,"="&amp;$A8,Concentrado!$B$2:$B436, "=Nuevo León")</f>
        <v>4077</v>
      </c>
      <c r="D8" s="11">
        <f>SUMIFS(Concentrado!E$2:E436,Concentrado!$A$2:$A436,"="&amp;$A8,Concentrado!$B$2:$B436, "=Nuevo León")</f>
        <v>1536</v>
      </c>
      <c r="E8" s="11">
        <f>SUMIFS(Concentrado!F$2:F436,Concentrado!$A$2:$A436,"="&amp;$A8,Concentrado!$B$2:$B436, "=Nuevo León")</f>
        <v>172</v>
      </c>
      <c r="F8" s="11">
        <f>SUMIFS(Concentrado!G$2:G436,Concentrado!$A$2:$A436,"="&amp;$A8,Concentrado!$B$2:$B436, "=Nuevo León")</f>
        <v>37</v>
      </c>
    </row>
    <row r="9" spans="1:6" x14ac:dyDescent="0.25">
      <c r="A9" s="8">
        <v>2019</v>
      </c>
      <c r="B9" s="11">
        <f>SUMIFS(Concentrado!C$2:C437,Concentrado!$A$2:$A437,"="&amp;$A9,Concentrado!$B$2:$B437, "=Nuevo León")</f>
        <v>3286</v>
      </c>
      <c r="C9" s="11">
        <f>SUMIFS(Concentrado!D$2:D437,Concentrado!$A$2:$A437,"="&amp;$A9,Concentrado!$B$2:$B437, "=Nuevo León")</f>
        <v>4083</v>
      </c>
      <c r="D9" s="11">
        <f>SUMIFS(Concentrado!E$2:E437,Concentrado!$A$2:$A437,"="&amp;$A9,Concentrado!$B$2:$B437, "=Nuevo León")</f>
        <v>1564</v>
      </c>
      <c r="E9" s="11">
        <f>SUMIFS(Concentrado!F$2:F437,Concentrado!$A$2:$A437,"="&amp;$A9,Concentrado!$B$2:$B437, "=Nuevo León")</f>
        <v>180</v>
      </c>
      <c r="F9" s="11">
        <f>SUMIFS(Concentrado!G$2:G437,Concentrado!$A$2:$A437,"="&amp;$A9,Concentrado!$B$2:$B437, "=Nuevo León")</f>
        <v>39</v>
      </c>
    </row>
    <row r="10" spans="1:6" x14ac:dyDescent="0.25">
      <c r="A10" s="8">
        <v>2020</v>
      </c>
      <c r="B10" s="11">
        <f>SUMIFS(Concentrado!C$2:C438,Concentrado!$A$2:$A438,"="&amp;$A10,Concentrado!$B$2:$B438, "=Nuevo León")</f>
        <v>3269</v>
      </c>
      <c r="C10" s="11">
        <f>SUMIFS(Concentrado!D$2:D438,Concentrado!$A$2:$A438,"="&amp;$A10,Concentrado!$B$2:$B438, "=Nuevo León")</f>
        <v>4102</v>
      </c>
      <c r="D10" s="11">
        <f>SUMIFS(Concentrado!E$2:E438,Concentrado!$A$2:$A438,"="&amp;$A10,Concentrado!$B$2:$B438, "=Nuevo León")</f>
        <v>1761</v>
      </c>
      <c r="E10" s="11">
        <f>SUMIFS(Concentrado!F$2:F438,Concentrado!$A$2:$A438,"="&amp;$A10,Concentrado!$B$2:$B438, "=Nuevo León")</f>
        <v>185</v>
      </c>
      <c r="F10" s="11">
        <f>SUMIFS(Concentrado!G$2:G438,Concentrado!$A$2:$A438,"="&amp;$A10,Concentrado!$B$2:$B438, "=Nuevo León")</f>
        <v>39</v>
      </c>
    </row>
    <row r="11" spans="1:6" x14ac:dyDescent="0.25">
      <c r="A11" s="8">
        <v>2021</v>
      </c>
      <c r="B11" s="11">
        <f>SUMIFS(Concentrado!C$2:C439,Concentrado!$A$2:$A439,"="&amp;$A11,Concentrado!$B$2:$B439, "=Nuevo León")</f>
        <v>3327</v>
      </c>
      <c r="C11" s="11">
        <f>SUMIFS(Concentrado!D$2:D439,Concentrado!$A$2:$A439,"="&amp;$A11,Concentrado!$B$2:$B439, "=Nuevo León")</f>
        <v>4190</v>
      </c>
      <c r="D11" s="11">
        <f>SUMIFS(Concentrado!E$2:E439,Concentrado!$A$2:$A439,"="&amp;$A11,Concentrado!$B$2:$B439, "=Nuevo León")</f>
        <v>1748</v>
      </c>
      <c r="E11" s="11">
        <f>SUMIFS(Concentrado!F$2:F439,Concentrado!$A$2:$A439,"="&amp;$A11,Concentrado!$B$2:$B439, "=Nuevo León")</f>
        <v>191</v>
      </c>
      <c r="F11" s="11">
        <f>SUMIFS(Concentrado!G$2:G439,Concentrado!$A$2:$A439,"="&amp;$A11,Concentrado!$B$2:$B439, "=Nuevo León")</f>
        <v>39</v>
      </c>
    </row>
    <row r="12" spans="1:6" x14ac:dyDescent="0.25">
      <c r="A12" s="8">
        <v>2022</v>
      </c>
      <c r="B12" s="11">
        <f>SUMIFS(Concentrado!C$2:C440,Concentrado!$A$2:$A440,"="&amp;$A12,Concentrado!$B$2:$B440, "=Nuevo León")</f>
        <v>3386</v>
      </c>
      <c r="C12" s="11">
        <f>SUMIFS(Concentrado!D$2:D440,Concentrado!$A$2:$A440,"="&amp;$A12,Concentrado!$B$2:$B440, "=Nuevo León")</f>
        <v>4209</v>
      </c>
      <c r="D12" s="11">
        <f>SUMIFS(Concentrado!E$2:E440,Concentrado!$A$2:$A440,"="&amp;$A12,Concentrado!$B$2:$B440, "=Nuevo León")</f>
        <v>1772</v>
      </c>
      <c r="E12" s="11">
        <f>SUMIFS(Concentrado!F$2:F440,Concentrado!$A$2:$A440,"="&amp;$A12,Concentrado!$B$2:$B440, "=Nuevo León")</f>
        <v>193</v>
      </c>
      <c r="F12" s="11">
        <f>SUMIFS(Concentrado!G$2:G440,Concentrado!$A$2:$A440,"="&amp;$A12,Concentrado!$B$2:$B440, "=Nuevo León")</f>
        <v>38</v>
      </c>
    </row>
    <row r="13" spans="1:6" x14ac:dyDescent="0.25">
      <c r="A13" s="8">
        <v>2023</v>
      </c>
      <c r="B13" s="11">
        <f>SUMIFS(Concentrado!C$2:C441,Concentrado!$A$2:$A441,"="&amp;$A13,Concentrado!$B$2:$B441, "=Nuevo León")</f>
        <v>3431</v>
      </c>
      <c r="C13" s="11">
        <f>SUMIFS(Concentrado!D$2:D441,Concentrado!$A$2:$A441,"="&amp;$A13,Concentrado!$B$2:$B441, "=Nuevo León")</f>
        <v>4326</v>
      </c>
      <c r="D13" s="11">
        <f>SUMIFS(Concentrado!E$2:E441,Concentrado!$A$2:$A441,"="&amp;$A13,Concentrado!$B$2:$B441, "=Nuevo León")</f>
        <v>1811</v>
      </c>
      <c r="E13" s="11">
        <f>SUMIFS(Concentrado!F$2:F441,Concentrado!$A$2:$A441,"="&amp;$A13,Concentrado!$B$2:$B441, "=Nuevo León")</f>
        <v>188</v>
      </c>
      <c r="F13" s="11">
        <f>SUMIFS(Concentrado!G$2:G441,Concentrado!$A$2:$A441,"="&amp;$A13,Concentrado!$B$2:$B441, "=Nuevo León")</f>
        <v>39</v>
      </c>
    </row>
    <row r="14" spans="1:6" x14ac:dyDescent="0.25">
      <c r="A14" s="8">
        <v>2024</v>
      </c>
      <c r="B14" s="11">
        <f>SUMIFS(Concentrado!C$2:C442,Concentrado!$A$2:$A442,"="&amp;$A14,Concentrado!$B$2:$B442, "=Nuevo León")</f>
        <v>3480</v>
      </c>
      <c r="C14" s="11">
        <f>SUMIFS(Concentrado!D$2:D442,Concentrado!$A$2:$A442,"="&amp;$A14,Concentrado!$B$2:$B442, "=Nuevo León")</f>
        <v>4375</v>
      </c>
      <c r="D14" s="11">
        <f>SUMIFS(Concentrado!E$2:E442,Concentrado!$A$2:$A442,"="&amp;$A14,Concentrado!$B$2:$B442, "=Nuevo León")</f>
        <v>1947</v>
      </c>
      <c r="E14" s="11">
        <f>SUMIFS(Concentrado!F$2:F442,Concentrado!$A$2:$A442,"="&amp;$A14,Concentrado!$B$2:$B442, "=Nuevo León")</f>
        <v>191</v>
      </c>
      <c r="F14" s="11">
        <f>SUMIFS(Concentrado!G$2:G442,Concentrado!$A$2:$A442,"="&amp;$A14,Concentrado!$B$2:$B442, "=Nuevo León")</f>
        <v>39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zoomScale="112" zoomScaleNormal="112" workbookViewId="0">
      <selection activeCell="F14" sqref="F14"/>
    </sheetView>
  </sheetViews>
  <sheetFormatPr baseColWidth="10" defaultRowHeight="15" x14ac:dyDescent="0.25"/>
  <cols>
    <col min="1" max="1" width="12.140625" customWidth="1"/>
    <col min="2" max="2" width="13.28515625" bestFit="1" customWidth="1"/>
    <col min="3" max="3" width="12.42578125" bestFit="1" customWidth="1"/>
    <col min="4" max="4" width="19.140625" customWidth="1"/>
    <col min="5" max="5" width="12.28515625" bestFit="1" customWidth="1"/>
    <col min="6" max="6" width="12" bestFit="1" customWidth="1"/>
  </cols>
  <sheetData>
    <row r="1" spans="1:6" s="4" customFormat="1" ht="42.75" x14ac:dyDescent="0.2">
      <c r="A1" s="1" t="s">
        <v>0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</row>
    <row r="2" spans="1:6" x14ac:dyDescent="0.25">
      <c r="A2" s="8">
        <v>2012</v>
      </c>
      <c r="B2" s="11">
        <f>SUMIFS(Concentrado!C$2:C430,Concentrado!$A$2:$A430,"="&amp;$A2,Concentrado!$B$2:$B430, "=Oaxaca")</f>
        <v>2731</v>
      </c>
      <c r="C2" s="11">
        <f>SUMIFS(Concentrado!D$2:D430,Concentrado!$A$2:$A430,"="&amp;$A2,Concentrado!$B$2:$B430, "=Oaxaca")</f>
        <v>2088</v>
      </c>
      <c r="D2" s="11">
        <f>SUMIFS(Concentrado!E$2:E430,Concentrado!$A$2:$A430,"="&amp;$A2,Concentrado!$B$2:$B430, "=Oaxaca")</f>
        <v>2797</v>
      </c>
      <c r="E2" s="11">
        <f>SUMIFS(Concentrado!F$2:F430,Concentrado!$A$2:$A430,"="&amp;$A2,Concentrado!$B$2:$B430, "=Oaxaca")</f>
        <v>97</v>
      </c>
      <c r="F2" s="11">
        <f>SUMIFS(Concentrado!G$2:G430,Concentrado!$A$2:$A430,"="&amp;$A2,Concentrado!$B$2:$B430, "=Oaxaca")</f>
        <v>104</v>
      </c>
    </row>
    <row r="3" spans="1:6" x14ac:dyDescent="0.25">
      <c r="A3" s="8">
        <v>2013</v>
      </c>
      <c r="B3" s="11">
        <f>SUMIFS(Concentrado!C$2:C431,Concentrado!$A$2:$A431,"="&amp;$A3,Concentrado!$B$2:$B431, "=Oaxaca")</f>
        <v>2828</v>
      </c>
      <c r="C3" s="11">
        <f>SUMIFS(Concentrado!D$2:D431,Concentrado!$A$2:$A431,"="&amp;$A3,Concentrado!$B$2:$B431, "=Oaxaca")</f>
        <v>2185</v>
      </c>
      <c r="D3" s="11">
        <f>SUMIFS(Concentrado!E$2:E431,Concentrado!$A$2:$A431,"="&amp;$A3,Concentrado!$B$2:$B431, "=Oaxaca")</f>
        <v>2954</v>
      </c>
      <c r="E3" s="11">
        <f>SUMIFS(Concentrado!F$2:F431,Concentrado!$A$2:$A431,"="&amp;$A3,Concentrado!$B$2:$B431, "=Oaxaca")</f>
        <v>104</v>
      </c>
      <c r="F3" s="11">
        <f>SUMIFS(Concentrado!G$2:G431,Concentrado!$A$2:$A431,"="&amp;$A3,Concentrado!$B$2:$B431, "=Oaxaca")</f>
        <v>109</v>
      </c>
    </row>
    <row r="4" spans="1:6" x14ac:dyDescent="0.25">
      <c r="A4" s="8">
        <v>2014</v>
      </c>
      <c r="B4" s="11">
        <f>SUMIFS(Concentrado!C$2:C432,Concentrado!$A$2:$A432,"="&amp;$A4,Concentrado!$B$2:$B432, "=Oaxaca")</f>
        <v>2908</v>
      </c>
      <c r="C4" s="11">
        <f>SUMIFS(Concentrado!D$2:D432,Concentrado!$A$2:$A432,"="&amp;$A4,Concentrado!$B$2:$B432, "=Oaxaca")</f>
        <v>2263</v>
      </c>
      <c r="D4" s="11">
        <f>SUMIFS(Concentrado!E$2:E432,Concentrado!$A$2:$A432,"="&amp;$A4,Concentrado!$B$2:$B432, "=Oaxaca")</f>
        <v>3272</v>
      </c>
      <c r="E4" s="11">
        <f>SUMIFS(Concentrado!F$2:F432,Concentrado!$A$2:$A432,"="&amp;$A4,Concentrado!$B$2:$B432, "=Oaxaca")</f>
        <v>105</v>
      </c>
      <c r="F4" s="11">
        <f>SUMIFS(Concentrado!G$2:G432,Concentrado!$A$2:$A432,"="&amp;$A4,Concentrado!$B$2:$B432, "=Oaxaca")</f>
        <v>110</v>
      </c>
    </row>
    <row r="5" spans="1:6" x14ac:dyDescent="0.25">
      <c r="A5" s="8">
        <v>2015</v>
      </c>
      <c r="B5" s="11">
        <f>SUMIFS(Concentrado!C$2:C433,Concentrado!$A$2:$A433,"="&amp;$A5,Concentrado!$B$2:$B433, "=Oaxaca")</f>
        <v>2877</v>
      </c>
      <c r="C5" s="11">
        <f>SUMIFS(Concentrado!D$2:D433,Concentrado!$A$2:$A433,"="&amp;$A5,Concentrado!$B$2:$B433, "=Oaxaca")</f>
        <v>2199</v>
      </c>
      <c r="D5" s="11">
        <f>SUMIFS(Concentrado!E$2:E433,Concentrado!$A$2:$A433,"="&amp;$A5,Concentrado!$B$2:$B433, "=Oaxaca")</f>
        <v>2848</v>
      </c>
      <c r="E5" s="11">
        <f>SUMIFS(Concentrado!F$2:F433,Concentrado!$A$2:$A433,"="&amp;$A5,Concentrado!$B$2:$B433, "=Oaxaca")</f>
        <v>104</v>
      </c>
      <c r="F5" s="11">
        <f>SUMIFS(Concentrado!G$2:G433,Concentrado!$A$2:$A433,"="&amp;$A5,Concentrado!$B$2:$B433, "=Oaxaca")</f>
        <v>116</v>
      </c>
    </row>
    <row r="6" spans="1:6" x14ac:dyDescent="0.25">
      <c r="A6" s="8">
        <v>2016</v>
      </c>
      <c r="B6" s="11">
        <f>SUMIFS(Concentrado!C$2:C434,Concentrado!$A$2:$A434,"="&amp;$A6,Concentrado!$B$2:$B434, "=Oaxaca")</f>
        <v>2974</v>
      </c>
      <c r="C6" s="11">
        <f>SUMIFS(Concentrado!D$2:D434,Concentrado!$A$2:$A434,"="&amp;$A6,Concentrado!$B$2:$B434, "=Oaxaca")</f>
        <v>2295</v>
      </c>
      <c r="D6" s="11">
        <f>SUMIFS(Concentrado!E$2:E434,Concentrado!$A$2:$A434,"="&amp;$A6,Concentrado!$B$2:$B434, "=Oaxaca")</f>
        <v>2879</v>
      </c>
      <c r="E6" s="11">
        <f>SUMIFS(Concentrado!F$2:F434,Concentrado!$A$2:$A434,"="&amp;$A6,Concentrado!$B$2:$B434, "=Oaxaca")</f>
        <v>106</v>
      </c>
      <c r="F6" s="11">
        <f>SUMIFS(Concentrado!G$2:G434,Concentrado!$A$2:$A434,"="&amp;$A6,Concentrado!$B$2:$B434, "=Oaxaca")</f>
        <v>74</v>
      </c>
    </row>
    <row r="7" spans="1:6" x14ac:dyDescent="0.25">
      <c r="A7" s="8">
        <v>2017</v>
      </c>
      <c r="B7" s="11">
        <f>SUMIFS(Concentrado!C$2:C435,Concentrado!$A$2:$A435,"="&amp;$A7,Concentrado!$B$2:$B435, "=Oaxaca")</f>
        <v>3091</v>
      </c>
      <c r="C7" s="11">
        <f>SUMIFS(Concentrado!D$2:D435,Concentrado!$A$2:$A435,"="&amp;$A7,Concentrado!$B$2:$B435, "=Oaxaca")</f>
        <v>2355</v>
      </c>
      <c r="D7" s="11">
        <f>SUMIFS(Concentrado!E$2:E435,Concentrado!$A$2:$A435,"="&amp;$A7,Concentrado!$B$2:$B435, "=Oaxaca")</f>
        <v>2963</v>
      </c>
      <c r="E7" s="11">
        <f>SUMIFS(Concentrado!F$2:F435,Concentrado!$A$2:$A435,"="&amp;$A7,Concentrado!$B$2:$B435, "=Oaxaca")</f>
        <v>110</v>
      </c>
      <c r="F7" s="11">
        <f>SUMIFS(Concentrado!G$2:G435,Concentrado!$A$2:$A435,"="&amp;$A7,Concentrado!$B$2:$B435, "=Oaxaca")</f>
        <v>84</v>
      </c>
    </row>
    <row r="8" spans="1:6" x14ac:dyDescent="0.25">
      <c r="A8" s="8">
        <v>2018</v>
      </c>
      <c r="B8" s="11">
        <f>SUMIFS(Concentrado!C$2:C436,Concentrado!$A$2:$A436,"="&amp;$A8,Concentrado!$B$2:$B436, "=Oaxaca")</f>
        <v>3128</v>
      </c>
      <c r="C8" s="11">
        <f>SUMIFS(Concentrado!D$2:D436,Concentrado!$A$2:$A436,"="&amp;$A8,Concentrado!$B$2:$B436, "=Oaxaca")</f>
        <v>2352</v>
      </c>
      <c r="D8" s="11">
        <f>SUMIFS(Concentrado!E$2:E436,Concentrado!$A$2:$A436,"="&amp;$A8,Concentrado!$B$2:$B436, "=Oaxaca")</f>
        <v>3020</v>
      </c>
      <c r="E8" s="11">
        <f>SUMIFS(Concentrado!F$2:F436,Concentrado!$A$2:$A436,"="&amp;$A8,Concentrado!$B$2:$B436, "=Oaxaca")</f>
        <v>116</v>
      </c>
      <c r="F8" s="11">
        <f>SUMIFS(Concentrado!G$2:G436,Concentrado!$A$2:$A436,"="&amp;$A8,Concentrado!$B$2:$B436, "=Oaxaca")</f>
        <v>85</v>
      </c>
    </row>
    <row r="9" spans="1:6" x14ac:dyDescent="0.25">
      <c r="A9" s="8">
        <v>2019</v>
      </c>
      <c r="B9" s="11">
        <f>SUMIFS(Concentrado!C$2:C437,Concentrado!$A$2:$A437,"="&amp;$A9,Concentrado!$B$2:$B437, "=Oaxaca")</f>
        <v>3006</v>
      </c>
      <c r="C9" s="11">
        <f>SUMIFS(Concentrado!D$2:D437,Concentrado!$A$2:$A437,"="&amp;$A9,Concentrado!$B$2:$B437, "=Oaxaca")</f>
        <v>2399</v>
      </c>
      <c r="D9" s="11">
        <f>SUMIFS(Concentrado!E$2:E437,Concentrado!$A$2:$A437,"="&amp;$A9,Concentrado!$B$2:$B437, "=Oaxaca")</f>
        <v>2579</v>
      </c>
      <c r="E9" s="11">
        <f>SUMIFS(Concentrado!F$2:F437,Concentrado!$A$2:$A437,"="&amp;$A9,Concentrado!$B$2:$B437, "=Oaxaca")</f>
        <v>115</v>
      </c>
      <c r="F9" s="11">
        <f>SUMIFS(Concentrado!G$2:G437,Concentrado!$A$2:$A437,"="&amp;$A9,Concentrado!$B$2:$B437, "=Oaxaca")</f>
        <v>85</v>
      </c>
    </row>
    <row r="10" spans="1:6" x14ac:dyDescent="0.25">
      <c r="A10" s="8">
        <v>2020</v>
      </c>
      <c r="B10" s="11">
        <f>SUMIFS(Concentrado!C$2:C438,Concentrado!$A$2:$A438,"="&amp;$A10,Concentrado!$B$2:$B438, "=Oaxaca")</f>
        <v>3106</v>
      </c>
      <c r="C10" s="11">
        <f>SUMIFS(Concentrado!D$2:D438,Concentrado!$A$2:$A438,"="&amp;$A10,Concentrado!$B$2:$B438, "=Oaxaca")</f>
        <v>2221</v>
      </c>
      <c r="D10" s="11">
        <f>SUMIFS(Concentrado!E$2:E438,Concentrado!$A$2:$A438,"="&amp;$A10,Concentrado!$B$2:$B438, "=Oaxaca")</f>
        <v>2540</v>
      </c>
      <c r="E10" s="11">
        <f>SUMIFS(Concentrado!F$2:F438,Concentrado!$A$2:$A438,"="&amp;$A10,Concentrado!$B$2:$B438, "=Oaxaca")</f>
        <v>116</v>
      </c>
      <c r="F10" s="11">
        <f>SUMIFS(Concentrado!G$2:G438,Concentrado!$A$2:$A438,"="&amp;$A10,Concentrado!$B$2:$B438, "=Oaxaca")</f>
        <v>122</v>
      </c>
    </row>
    <row r="11" spans="1:6" x14ac:dyDescent="0.25">
      <c r="A11" s="8">
        <v>2021</v>
      </c>
      <c r="B11" s="11">
        <f>SUMIFS(Concentrado!C$2:C439,Concentrado!$A$2:$A439,"="&amp;$A11,Concentrado!$B$2:$B439, "=Oaxaca")</f>
        <v>3149</v>
      </c>
      <c r="C11" s="11">
        <f>SUMIFS(Concentrado!D$2:D439,Concentrado!$A$2:$A439,"="&amp;$A11,Concentrado!$B$2:$B439, "=Oaxaca")</f>
        <v>2278</v>
      </c>
      <c r="D11" s="11">
        <f>SUMIFS(Concentrado!E$2:E439,Concentrado!$A$2:$A439,"="&amp;$A11,Concentrado!$B$2:$B439, "=Oaxaca")</f>
        <v>2476</v>
      </c>
      <c r="E11" s="11">
        <f>SUMIFS(Concentrado!F$2:F439,Concentrado!$A$2:$A439,"="&amp;$A11,Concentrado!$B$2:$B439, "=Oaxaca")</f>
        <v>117</v>
      </c>
      <c r="F11" s="11">
        <f>SUMIFS(Concentrado!G$2:G439,Concentrado!$A$2:$A439,"="&amp;$A11,Concentrado!$B$2:$B439, "=Oaxaca")</f>
        <v>110</v>
      </c>
    </row>
    <row r="12" spans="1:6" x14ac:dyDescent="0.25">
      <c r="A12" s="8">
        <v>2022</v>
      </c>
      <c r="B12" s="11">
        <f>SUMIFS(Concentrado!C$2:C440,Concentrado!$A$2:$A440,"="&amp;$A12,Concentrado!$B$2:$B440, "=Oaxaca")</f>
        <v>3137</v>
      </c>
      <c r="C12" s="11">
        <f>SUMIFS(Concentrado!D$2:D440,Concentrado!$A$2:$A440,"="&amp;$A12,Concentrado!$B$2:$B440, "=Oaxaca")</f>
        <v>2124</v>
      </c>
      <c r="D12" s="11">
        <f>SUMIFS(Concentrado!E$2:E440,Concentrado!$A$2:$A440,"="&amp;$A12,Concentrado!$B$2:$B440, "=Oaxaca")</f>
        <v>1232</v>
      </c>
      <c r="E12" s="11">
        <f>SUMIFS(Concentrado!F$2:F440,Concentrado!$A$2:$A440,"="&amp;$A12,Concentrado!$B$2:$B440, "=Oaxaca")</f>
        <v>105</v>
      </c>
      <c r="F12" s="11">
        <f>SUMIFS(Concentrado!G$2:G440,Concentrado!$A$2:$A440,"="&amp;$A12,Concentrado!$B$2:$B440, "=Oaxaca")</f>
        <v>82</v>
      </c>
    </row>
    <row r="13" spans="1:6" x14ac:dyDescent="0.25">
      <c r="A13" s="8">
        <v>2023</v>
      </c>
      <c r="B13" s="11">
        <f>SUMIFS(Concentrado!C$2:C441,Concentrado!$A$2:$A441,"="&amp;$A13,Concentrado!$B$2:$B441, "=Oaxaca")</f>
        <v>3204</v>
      </c>
      <c r="C13" s="11">
        <f>SUMIFS(Concentrado!D$2:D441,Concentrado!$A$2:$A441,"="&amp;$A13,Concentrado!$B$2:$B441, "=Oaxaca")</f>
        <v>2255</v>
      </c>
      <c r="D13" s="11">
        <f>SUMIFS(Concentrado!E$2:E441,Concentrado!$A$2:$A441,"="&amp;$A13,Concentrado!$B$2:$B441, "=Oaxaca")</f>
        <v>1486</v>
      </c>
      <c r="E13" s="11">
        <f>SUMIFS(Concentrado!F$2:F441,Concentrado!$A$2:$A441,"="&amp;$A13,Concentrado!$B$2:$B441, "=Oaxaca")</f>
        <v>109</v>
      </c>
      <c r="F13" s="11">
        <f>SUMIFS(Concentrado!G$2:G441,Concentrado!$A$2:$A441,"="&amp;$A13,Concentrado!$B$2:$B441, "=Oaxaca")</f>
        <v>81</v>
      </c>
    </row>
    <row r="14" spans="1:6" x14ac:dyDescent="0.25">
      <c r="A14" s="8">
        <v>2024</v>
      </c>
      <c r="B14" s="11">
        <f>SUMIFS(Concentrado!C$2:C442,Concentrado!$A$2:$A442,"="&amp;$A14,Concentrado!$B$2:$B442, "=Oaxaca")</f>
        <v>3111</v>
      </c>
      <c r="C14" s="11">
        <f>SUMIFS(Concentrado!D$2:D442,Concentrado!$A$2:$A442,"="&amp;$A14,Concentrado!$B$2:$B442, "=Oaxaca")</f>
        <v>2211</v>
      </c>
      <c r="D14" s="11">
        <f>SUMIFS(Concentrado!E$2:E442,Concentrado!$A$2:$A442,"="&amp;$A14,Concentrado!$B$2:$B442, "=Oaxaca")</f>
        <v>1512</v>
      </c>
      <c r="E14" s="11">
        <f>SUMIFS(Concentrado!F$2:F442,Concentrado!$A$2:$A442,"="&amp;$A14,Concentrado!$B$2:$B442, "=Oaxaca")</f>
        <v>109</v>
      </c>
      <c r="F14" s="11">
        <f>SUMIFS(Concentrado!G$2:G442,Concentrado!$A$2:$A442,"="&amp;$A14,Concentrado!$B$2:$B442, "=Oaxaca")</f>
        <v>82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zoomScale="112" zoomScaleNormal="112" workbookViewId="0">
      <selection activeCell="F14" sqref="F14"/>
    </sheetView>
  </sheetViews>
  <sheetFormatPr baseColWidth="10" defaultRowHeight="15" x14ac:dyDescent="0.25"/>
  <cols>
    <col min="1" max="1" width="12.140625" customWidth="1"/>
    <col min="2" max="2" width="13.28515625" bestFit="1" customWidth="1"/>
    <col min="3" max="3" width="12.42578125" bestFit="1" customWidth="1"/>
    <col min="4" max="4" width="19.140625" customWidth="1"/>
    <col min="5" max="5" width="12.28515625" bestFit="1" customWidth="1"/>
    <col min="6" max="6" width="12" bestFit="1" customWidth="1"/>
  </cols>
  <sheetData>
    <row r="1" spans="1:6" s="4" customFormat="1" ht="42.75" x14ac:dyDescent="0.2">
      <c r="A1" s="1" t="s">
        <v>0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</row>
    <row r="2" spans="1:6" x14ac:dyDescent="0.25">
      <c r="A2" s="8">
        <v>2012</v>
      </c>
      <c r="B2" s="11">
        <f>SUMIFS(Concentrado!C$2:C430,Concentrado!$A$2:$A430,"="&amp;$A2,Concentrado!$B$2:$B430, "=Puebla")</f>
        <v>2972</v>
      </c>
      <c r="C2" s="11">
        <f>SUMIFS(Concentrado!D$2:D430,Concentrado!$A$2:$A430,"="&amp;$A2,Concentrado!$B$2:$B430, "=Puebla")</f>
        <v>3624</v>
      </c>
      <c r="D2" s="11">
        <f>SUMIFS(Concentrado!E$2:E430,Concentrado!$A$2:$A430,"="&amp;$A2,Concentrado!$B$2:$B430, "=Puebla")</f>
        <v>3180</v>
      </c>
      <c r="E2" s="11">
        <f>SUMIFS(Concentrado!F$2:F430,Concentrado!$A$2:$A430,"="&amp;$A2,Concentrado!$B$2:$B430, "=Puebla")</f>
        <v>161</v>
      </c>
      <c r="F2" s="11">
        <f>SUMIFS(Concentrado!G$2:G430,Concentrado!$A$2:$A430,"="&amp;$A2,Concentrado!$B$2:$B430, "=Puebla")</f>
        <v>111</v>
      </c>
    </row>
    <row r="3" spans="1:6" x14ac:dyDescent="0.25">
      <c r="A3" s="8">
        <v>2013</v>
      </c>
      <c r="B3" s="11">
        <f>SUMIFS(Concentrado!C$2:C431,Concentrado!$A$2:$A431,"="&amp;$A3,Concentrado!$B$2:$B431, "=Puebla")</f>
        <v>3042</v>
      </c>
      <c r="C3" s="11">
        <f>SUMIFS(Concentrado!D$2:D431,Concentrado!$A$2:$A431,"="&amp;$A3,Concentrado!$B$2:$B431, "=Puebla")</f>
        <v>3512</v>
      </c>
      <c r="D3" s="11">
        <f>SUMIFS(Concentrado!E$2:E431,Concentrado!$A$2:$A431,"="&amp;$A3,Concentrado!$B$2:$B431, "=Puebla")</f>
        <v>3413</v>
      </c>
      <c r="E3" s="11">
        <f>SUMIFS(Concentrado!F$2:F431,Concentrado!$A$2:$A431,"="&amp;$A3,Concentrado!$B$2:$B431, "=Puebla")</f>
        <v>172</v>
      </c>
      <c r="F3" s="11">
        <f>SUMIFS(Concentrado!G$2:G431,Concentrado!$A$2:$A431,"="&amp;$A3,Concentrado!$B$2:$B431, "=Puebla")</f>
        <v>198</v>
      </c>
    </row>
    <row r="4" spans="1:6" x14ac:dyDescent="0.25">
      <c r="A4" s="8">
        <v>2014</v>
      </c>
      <c r="B4" s="11">
        <f>SUMIFS(Concentrado!C$2:C432,Concentrado!$A$2:$A432,"="&amp;$A4,Concentrado!$B$2:$B432, "=Puebla")</f>
        <v>3559</v>
      </c>
      <c r="C4" s="11">
        <f>SUMIFS(Concentrado!D$2:D432,Concentrado!$A$2:$A432,"="&amp;$A4,Concentrado!$B$2:$B432, "=Puebla")</f>
        <v>3997</v>
      </c>
      <c r="D4" s="11">
        <f>SUMIFS(Concentrado!E$2:E432,Concentrado!$A$2:$A432,"="&amp;$A4,Concentrado!$B$2:$B432, "=Puebla")</f>
        <v>3894</v>
      </c>
      <c r="E4" s="11">
        <f>SUMIFS(Concentrado!F$2:F432,Concentrado!$A$2:$A432,"="&amp;$A4,Concentrado!$B$2:$B432, "=Puebla")</f>
        <v>199</v>
      </c>
      <c r="F4" s="11">
        <f>SUMIFS(Concentrado!G$2:G432,Concentrado!$A$2:$A432,"="&amp;$A4,Concentrado!$B$2:$B432, "=Puebla")</f>
        <v>217</v>
      </c>
    </row>
    <row r="5" spans="1:6" x14ac:dyDescent="0.25">
      <c r="A5" s="8">
        <v>2015</v>
      </c>
      <c r="B5" s="11">
        <f>SUMIFS(Concentrado!C$2:C433,Concentrado!$A$2:$A433,"="&amp;$A5,Concentrado!$B$2:$B433, "=Puebla")</f>
        <v>3624</v>
      </c>
      <c r="C5" s="11">
        <f>SUMIFS(Concentrado!D$2:D433,Concentrado!$A$2:$A433,"="&amp;$A5,Concentrado!$B$2:$B433, "=Puebla")</f>
        <v>3966</v>
      </c>
      <c r="D5" s="11">
        <f>SUMIFS(Concentrado!E$2:E433,Concentrado!$A$2:$A433,"="&amp;$A5,Concentrado!$B$2:$B433, "=Puebla")</f>
        <v>3459</v>
      </c>
      <c r="E5" s="11">
        <f>SUMIFS(Concentrado!F$2:F433,Concentrado!$A$2:$A433,"="&amp;$A5,Concentrado!$B$2:$B433, "=Puebla")</f>
        <v>210</v>
      </c>
      <c r="F5" s="11">
        <f>SUMIFS(Concentrado!G$2:G433,Concentrado!$A$2:$A433,"="&amp;$A5,Concentrado!$B$2:$B433, "=Puebla")</f>
        <v>233</v>
      </c>
    </row>
    <row r="6" spans="1:6" x14ac:dyDescent="0.25">
      <c r="A6" s="8">
        <v>2016</v>
      </c>
      <c r="B6" s="11">
        <f>SUMIFS(Concentrado!C$2:C434,Concentrado!$A$2:$A434,"="&amp;$A6,Concentrado!$B$2:$B434, "=Puebla")</f>
        <v>3639</v>
      </c>
      <c r="C6" s="11">
        <f>SUMIFS(Concentrado!D$2:D434,Concentrado!$A$2:$A434,"="&amp;$A6,Concentrado!$B$2:$B434, "=Puebla")</f>
        <v>4090</v>
      </c>
      <c r="D6" s="11">
        <f>SUMIFS(Concentrado!E$2:E434,Concentrado!$A$2:$A434,"="&amp;$A6,Concentrado!$B$2:$B434, "=Puebla")</f>
        <v>3411</v>
      </c>
      <c r="E6" s="11">
        <f>SUMIFS(Concentrado!F$2:F434,Concentrado!$A$2:$A434,"="&amp;$A6,Concentrado!$B$2:$B434, "=Puebla")</f>
        <v>207</v>
      </c>
      <c r="F6" s="11">
        <f>SUMIFS(Concentrado!G$2:G434,Concentrado!$A$2:$A434,"="&amp;$A6,Concentrado!$B$2:$B434, "=Puebla")</f>
        <v>247</v>
      </c>
    </row>
    <row r="7" spans="1:6" x14ac:dyDescent="0.25">
      <c r="A7" s="8">
        <v>2017</v>
      </c>
      <c r="B7" s="11">
        <f>SUMIFS(Concentrado!C$2:C435,Concentrado!$A$2:$A435,"="&amp;$A7,Concentrado!$B$2:$B435, "=Puebla")</f>
        <v>3660</v>
      </c>
      <c r="C7" s="11">
        <f>SUMIFS(Concentrado!D$2:D435,Concentrado!$A$2:$A435,"="&amp;$A7,Concentrado!$B$2:$B435, "=Puebla")</f>
        <v>4098</v>
      </c>
      <c r="D7" s="11">
        <f>SUMIFS(Concentrado!E$2:E435,Concentrado!$A$2:$A435,"="&amp;$A7,Concentrado!$B$2:$B435, "=Puebla")</f>
        <v>3534</v>
      </c>
      <c r="E7" s="11">
        <f>SUMIFS(Concentrado!F$2:F435,Concentrado!$A$2:$A435,"="&amp;$A7,Concentrado!$B$2:$B435, "=Puebla")</f>
        <v>236</v>
      </c>
      <c r="F7" s="11">
        <f>SUMIFS(Concentrado!G$2:G435,Concentrado!$A$2:$A435,"="&amp;$A7,Concentrado!$B$2:$B435, "=Puebla")</f>
        <v>196</v>
      </c>
    </row>
    <row r="8" spans="1:6" x14ac:dyDescent="0.25">
      <c r="A8" s="8">
        <v>2018</v>
      </c>
      <c r="B8" s="11">
        <f>SUMIFS(Concentrado!C$2:C436,Concentrado!$A$2:$A436,"="&amp;$A8,Concentrado!$B$2:$B436, "=Puebla")</f>
        <v>3599</v>
      </c>
      <c r="C8" s="11">
        <f>SUMIFS(Concentrado!D$2:D436,Concentrado!$A$2:$A436,"="&amp;$A8,Concentrado!$B$2:$B436, "=Puebla")</f>
        <v>4012</v>
      </c>
      <c r="D8" s="11">
        <f>SUMIFS(Concentrado!E$2:E436,Concentrado!$A$2:$A436,"="&amp;$A8,Concentrado!$B$2:$B436, "=Puebla")</f>
        <v>3439</v>
      </c>
      <c r="E8" s="11">
        <f>SUMIFS(Concentrado!F$2:F436,Concentrado!$A$2:$A436,"="&amp;$A8,Concentrado!$B$2:$B436, "=Puebla")</f>
        <v>234</v>
      </c>
      <c r="F8" s="11">
        <f>SUMIFS(Concentrado!G$2:G436,Concentrado!$A$2:$A436,"="&amp;$A8,Concentrado!$B$2:$B436, "=Puebla")</f>
        <v>183</v>
      </c>
    </row>
    <row r="9" spans="1:6" x14ac:dyDescent="0.25">
      <c r="A9" s="8">
        <v>2019</v>
      </c>
      <c r="B9" s="11">
        <f>SUMIFS(Concentrado!C$2:C437,Concentrado!$A$2:$A437,"="&amp;$A9,Concentrado!$B$2:$B437, "=Puebla")</f>
        <v>3591</v>
      </c>
      <c r="C9" s="11">
        <f>SUMIFS(Concentrado!D$2:D437,Concentrado!$A$2:$A437,"="&amp;$A9,Concentrado!$B$2:$B437, "=Puebla")</f>
        <v>4113</v>
      </c>
      <c r="D9" s="11">
        <f>SUMIFS(Concentrado!E$2:E437,Concentrado!$A$2:$A437,"="&amp;$A9,Concentrado!$B$2:$B437, "=Puebla")</f>
        <v>3365</v>
      </c>
      <c r="E9" s="11">
        <f>SUMIFS(Concentrado!F$2:F437,Concentrado!$A$2:$A437,"="&amp;$A9,Concentrado!$B$2:$B437, "=Puebla")</f>
        <v>216</v>
      </c>
      <c r="F9" s="11">
        <f>SUMIFS(Concentrado!G$2:G437,Concentrado!$A$2:$A437,"="&amp;$A9,Concentrado!$B$2:$B437, "=Puebla")</f>
        <v>252</v>
      </c>
    </row>
    <row r="10" spans="1:6" x14ac:dyDescent="0.25">
      <c r="A10" s="8">
        <v>2020</v>
      </c>
      <c r="B10" s="11">
        <f>SUMIFS(Concentrado!C$2:C438,Concentrado!$A$2:$A438,"="&amp;$A10,Concentrado!$B$2:$B438, "=Puebla")</f>
        <v>3655</v>
      </c>
      <c r="C10" s="11">
        <f>SUMIFS(Concentrado!D$2:D438,Concentrado!$A$2:$A438,"="&amp;$A10,Concentrado!$B$2:$B438, "=Puebla")</f>
        <v>3686</v>
      </c>
      <c r="D10" s="11">
        <f>SUMIFS(Concentrado!E$2:E438,Concentrado!$A$2:$A438,"="&amp;$A10,Concentrado!$B$2:$B438, "=Puebla")</f>
        <v>3139</v>
      </c>
      <c r="E10" s="11">
        <f>SUMIFS(Concentrado!F$2:F438,Concentrado!$A$2:$A438,"="&amp;$A10,Concentrado!$B$2:$B438, "=Puebla")</f>
        <v>208</v>
      </c>
      <c r="F10" s="11">
        <f>SUMIFS(Concentrado!G$2:G438,Concentrado!$A$2:$A438,"="&amp;$A10,Concentrado!$B$2:$B438, "=Puebla")</f>
        <v>222</v>
      </c>
    </row>
    <row r="11" spans="1:6" x14ac:dyDescent="0.25">
      <c r="A11" s="8">
        <v>2021</v>
      </c>
      <c r="B11" s="11">
        <f>SUMIFS(Concentrado!C$2:C439,Concentrado!$A$2:$A439,"="&amp;$A11,Concentrado!$B$2:$B439, "=Puebla")</f>
        <v>3608</v>
      </c>
      <c r="C11" s="11">
        <f>SUMIFS(Concentrado!D$2:D439,Concentrado!$A$2:$A439,"="&amp;$A11,Concentrado!$B$2:$B439, "=Puebla")</f>
        <v>3667</v>
      </c>
      <c r="D11" s="11">
        <f>SUMIFS(Concentrado!E$2:E439,Concentrado!$A$2:$A439,"="&amp;$A11,Concentrado!$B$2:$B439, "=Puebla")</f>
        <v>2988</v>
      </c>
      <c r="E11" s="11">
        <f>SUMIFS(Concentrado!F$2:F439,Concentrado!$A$2:$A439,"="&amp;$A11,Concentrado!$B$2:$B439, "=Puebla")</f>
        <v>182</v>
      </c>
      <c r="F11" s="11">
        <f>SUMIFS(Concentrado!G$2:G439,Concentrado!$A$2:$A439,"="&amp;$A11,Concentrado!$B$2:$B439, "=Puebla")</f>
        <v>143</v>
      </c>
    </row>
    <row r="12" spans="1:6" x14ac:dyDescent="0.25">
      <c r="A12" s="8">
        <v>2022</v>
      </c>
      <c r="B12" s="11">
        <f>SUMIFS(Concentrado!C$2:C440,Concentrado!$A$2:$A440,"="&amp;$A12,Concentrado!$B$2:$B440, "=Puebla")</f>
        <v>4218</v>
      </c>
      <c r="C12" s="11">
        <f>SUMIFS(Concentrado!D$2:D440,Concentrado!$A$2:$A440,"="&amp;$A12,Concentrado!$B$2:$B440, "=Puebla")</f>
        <v>3785</v>
      </c>
      <c r="D12" s="11">
        <f>SUMIFS(Concentrado!E$2:E440,Concentrado!$A$2:$A440,"="&amp;$A12,Concentrado!$B$2:$B440, "=Puebla")</f>
        <v>2937</v>
      </c>
      <c r="E12" s="11">
        <f>SUMIFS(Concentrado!F$2:F440,Concentrado!$A$2:$A440,"="&amp;$A12,Concentrado!$B$2:$B440, "=Puebla")</f>
        <v>190</v>
      </c>
      <c r="F12" s="11">
        <f>SUMIFS(Concentrado!G$2:G440,Concentrado!$A$2:$A440,"="&amp;$A12,Concentrado!$B$2:$B440, "=Puebla")</f>
        <v>140</v>
      </c>
    </row>
    <row r="13" spans="1:6" x14ac:dyDescent="0.25">
      <c r="A13" s="8">
        <v>2023</v>
      </c>
      <c r="B13" s="11">
        <f>SUMIFS(Concentrado!C$2:C441,Concentrado!$A$2:$A441,"="&amp;$A13,Concentrado!$B$2:$B441, "=Puebla")</f>
        <v>4258</v>
      </c>
      <c r="C13" s="11">
        <f>SUMIFS(Concentrado!D$2:D441,Concentrado!$A$2:$A441,"="&amp;$A13,Concentrado!$B$2:$B441, "=Puebla")</f>
        <v>3966</v>
      </c>
      <c r="D13" s="11">
        <f>SUMIFS(Concentrado!E$2:E441,Concentrado!$A$2:$A441,"="&amp;$A13,Concentrado!$B$2:$B441, "=Puebla")</f>
        <v>2980</v>
      </c>
      <c r="E13" s="11">
        <f>SUMIFS(Concentrado!F$2:F441,Concentrado!$A$2:$A441,"="&amp;$A13,Concentrado!$B$2:$B441, "=Puebla")</f>
        <v>181</v>
      </c>
      <c r="F13" s="11">
        <f>SUMIFS(Concentrado!G$2:G441,Concentrado!$A$2:$A441,"="&amp;$A13,Concentrado!$B$2:$B441, "=Puebla")</f>
        <v>125</v>
      </c>
    </row>
    <row r="14" spans="1:6" x14ac:dyDescent="0.25">
      <c r="A14" s="8">
        <v>2024</v>
      </c>
      <c r="B14" s="11">
        <f>SUMIFS(Concentrado!C$2:C442,Concentrado!$A$2:$A442,"="&amp;$A14,Concentrado!$B$2:$B442, "=Puebla")</f>
        <v>4334</v>
      </c>
      <c r="C14" s="11">
        <f>SUMIFS(Concentrado!D$2:D442,Concentrado!$A$2:$A442,"="&amp;$A14,Concentrado!$B$2:$B442, "=Puebla")</f>
        <v>4016</v>
      </c>
      <c r="D14" s="11">
        <f>SUMIFS(Concentrado!E$2:E442,Concentrado!$A$2:$A442,"="&amp;$A14,Concentrado!$B$2:$B442, "=Puebla")</f>
        <v>3178</v>
      </c>
      <c r="E14" s="11">
        <f>SUMIFS(Concentrado!F$2:F442,Concentrado!$A$2:$A442,"="&amp;$A14,Concentrado!$B$2:$B442, "=Puebla")</f>
        <v>201</v>
      </c>
      <c r="F14" s="11">
        <f>SUMIFS(Concentrado!G$2:G442,Concentrado!$A$2:$A442,"="&amp;$A14,Concentrado!$B$2:$B442, "=Puebla")</f>
        <v>129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zoomScale="112" zoomScaleNormal="112" workbookViewId="0">
      <selection activeCell="F14" sqref="F14"/>
    </sheetView>
  </sheetViews>
  <sheetFormatPr baseColWidth="10" defaultRowHeight="15" x14ac:dyDescent="0.25"/>
  <cols>
    <col min="1" max="1" width="12.140625" customWidth="1"/>
    <col min="2" max="2" width="13.28515625" bestFit="1" customWidth="1"/>
    <col min="3" max="3" width="12.42578125" bestFit="1" customWidth="1"/>
    <col min="4" max="4" width="19.140625" customWidth="1"/>
    <col min="5" max="5" width="12.28515625" bestFit="1" customWidth="1"/>
    <col min="6" max="6" width="12" bestFit="1" customWidth="1"/>
  </cols>
  <sheetData>
    <row r="1" spans="1:6" s="4" customFormat="1" ht="42.75" x14ac:dyDescent="0.2">
      <c r="A1" s="1" t="s">
        <v>0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</row>
    <row r="2" spans="1:6" x14ac:dyDescent="0.25">
      <c r="A2" s="8">
        <v>2012</v>
      </c>
      <c r="B2" s="11">
        <f>SUMIFS(Concentrado!C$2:C430,Concentrado!$A$2:$A430,"="&amp;$A2,Concentrado!$B$2:$B430, "=Querétaro")</f>
        <v>954</v>
      </c>
      <c r="C2" s="11">
        <f>SUMIFS(Concentrado!D$2:D430,Concentrado!$A$2:$A430,"="&amp;$A2,Concentrado!$B$2:$B430, "=Querétaro")</f>
        <v>886</v>
      </c>
      <c r="D2" s="11">
        <f>SUMIFS(Concentrado!E$2:E430,Concentrado!$A$2:$A430,"="&amp;$A2,Concentrado!$B$2:$B430, "=Querétaro")</f>
        <v>725</v>
      </c>
      <c r="E2" s="11">
        <f>SUMIFS(Concentrado!F$2:F430,Concentrado!$A$2:$A430,"="&amp;$A2,Concentrado!$B$2:$B430, "=Querétaro")</f>
        <v>42</v>
      </c>
      <c r="F2" s="11">
        <f>SUMIFS(Concentrado!G$2:G430,Concentrado!$A$2:$A430,"="&amp;$A2,Concentrado!$B$2:$B430, "=Querétaro")</f>
        <v>18</v>
      </c>
    </row>
    <row r="3" spans="1:6" x14ac:dyDescent="0.25">
      <c r="A3" s="8">
        <v>2013</v>
      </c>
      <c r="B3" s="11">
        <f>SUMIFS(Concentrado!C$2:C431,Concentrado!$A$2:$A431,"="&amp;$A3,Concentrado!$B$2:$B431, "=Querétaro")</f>
        <v>978</v>
      </c>
      <c r="C3" s="11">
        <f>SUMIFS(Concentrado!D$2:D431,Concentrado!$A$2:$A431,"="&amp;$A3,Concentrado!$B$2:$B431, "=Querétaro")</f>
        <v>879</v>
      </c>
      <c r="D3" s="11">
        <f>SUMIFS(Concentrado!E$2:E431,Concentrado!$A$2:$A431,"="&amp;$A3,Concentrado!$B$2:$B431, "=Querétaro")</f>
        <v>741</v>
      </c>
      <c r="E3" s="11">
        <f>SUMIFS(Concentrado!F$2:F431,Concentrado!$A$2:$A431,"="&amp;$A3,Concentrado!$B$2:$B431, "=Querétaro")</f>
        <v>49</v>
      </c>
      <c r="F3" s="11">
        <f>SUMIFS(Concentrado!G$2:G431,Concentrado!$A$2:$A431,"="&amp;$A3,Concentrado!$B$2:$B431, "=Querétaro")</f>
        <v>20</v>
      </c>
    </row>
    <row r="4" spans="1:6" x14ac:dyDescent="0.25">
      <c r="A4" s="8">
        <v>2014</v>
      </c>
      <c r="B4" s="11">
        <f>SUMIFS(Concentrado!C$2:C432,Concentrado!$A$2:$A432,"="&amp;$A4,Concentrado!$B$2:$B432, "=Querétaro")</f>
        <v>1003</v>
      </c>
      <c r="C4" s="11">
        <f>SUMIFS(Concentrado!D$2:D432,Concentrado!$A$2:$A432,"="&amp;$A4,Concentrado!$B$2:$B432, "=Querétaro")</f>
        <v>862</v>
      </c>
      <c r="D4" s="11">
        <f>SUMIFS(Concentrado!E$2:E432,Concentrado!$A$2:$A432,"="&amp;$A4,Concentrado!$B$2:$B432, "=Querétaro")</f>
        <v>769</v>
      </c>
      <c r="E4" s="11">
        <f>SUMIFS(Concentrado!F$2:F432,Concentrado!$A$2:$A432,"="&amp;$A4,Concentrado!$B$2:$B432, "=Querétaro")</f>
        <v>47</v>
      </c>
      <c r="F4" s="11">
        <f>SUMIFS(Concentrado!G$2:G432,Concentrado!$A$2:$A432,"="&amp;$A4,Concentrado!$B$2:$B432, "=Querétaro")</f>
        <v>20</v>
      </c>
    </row>
    <row r="5" spans="1:6" x14ac:dyDescent="0.25">
      <c r="A5" s="8">
        <v>2015</v>
      </c>
      <c r="B5" s="11">
        <f>SUMIFS(Concentrado!C$2:C433,Concentrado!$A$2:$A433,"="&amp;$A5,Concentrado!$B$2:$B433, "=Querétaro")</f>
        <v>1023</v>
      </c>
      <c r="C5" s="11">
        <f>SUMIFS(Concentrado!D$2:D433,Concentrado!$A$2:$A433,"="&amp;$A5,Concentrado!$B$2:$B433, "=Querétaro")</f>
        <v>858</v>
      </c>
      <c r="D5" s="11">
        <f>SUMIFS(Concentrado!E$2:E433,Concentrado!$A$2:$A433,"="&amp;$A5,Concentrado!$B$2:$B433, "=Querétaro")</f>
        <v>757</v>
      </c>
      <c r="E5" s="11">
        <f>SUMIFS(Concentrado!F$2:F433,Concentrado!$A$2:$A433,"="&amp;$A5,Concentrado!$B$2:$B433, "=Querétaro")</f>
        <v>49</v>
      </c>
      <c r="F5" s="11">
        <f>SUMIFS(Concentrado!G$2:G433,Concentrado!$A$2:$A433,"="&amp;$A5,Concentrado!$B$2:$B433, "=Querétaro")</f>
        <v>19</v>
      </c>
    </row>
    <row r="6" spans="1:6" x14ac:dyDescent="0.25">
      <c r="A6" s="8">
        <v>2016</v>
      </c>
      <c r="B6" s="11">
        <f>SUMIFS(Concentrado!C$2:C434,Concentrado!$A$2:$A434,"="&amp;$A6,Concentrado!$B$2:$B434, "=Querétaro")</f>
        <v>1040</v>
      </c>
      <c r="C6" s="11">
        <f>SUMIFS(Concentrado!D$2:D434,Concentrado!$A$2:$A434,"="&amp;$A6,Concentrado!$B$2:$B434, "=Querétaro")</f>
        <v>901</v>
      </c>
      <c r="D6" s="11">
        <f>SUMIFS(Concentrado!E$2:E434,Concentrado!$A$2:$A434,"="&amp;$A6,Concentrado!$B$2:$B434, "=Querétaro")</f>
        <v>798</v>
      </c>
      <c r="E6" s="11">
        <f>SUMIFS(Concentrado!F$2:F434,Concentrado!$A$2:$A434,"="&amp;$A6,Concentrado!$B$2:$B434, "=Querétaro")</f>
        <v>43</v>
      </c>
      <c r="F6" s="11">
        <f>SUMIFS(Concentrado!G$2:G434,Concentrado!$A$2:$A434,"="&amp;$A6,Concentrado!$B$2:$B434, "=Querétaro")</f>
        <v>19</v>
      </c>
    </row>
    <row r="7" spans="1:6" x14ac:dyDescent="0.25">
      <c r="A7" s="8">
        <v>2017</v>
      </c>
      <c r="B7" s="11">
        <f>SUMIFS(Concentrado!C$2:C435,Concentrado!$A$2:$A435,"="&amp;$A7,Concentrado!$B$2:$B435, "=Querétaro")</f>
        <v>1028</v>
      </c>
      <c r="C7" s="11">
        <f>SUMIFS(Concentrado!D$2:D435,Concentrado!$A$2:$A435,"="&amp;$A7,Concentrado!$B$2:$B435, "=Querétaro")</f>
        <v>895</v>
      </c>
      <c r="D7" s="11">
        <f>SUMIFS(Concentrado!E$2:E435,Concentrado!$A$2:$A435,"="&amp;$A7,Concentrado!$B$2:$B435, "=Querétaro")</f>
        <v>842</v>
      </c>
      <c r="E7" s="11">
        <f>SUMIFS(Concentrado!F$2:F435,Concentrado!$A$2:$A435,"="&amp;$A7,Concentrado!$B$2:$B435, "=Querétaro")</f>
        <v>43</v>
      </c>
      <c r="F7" s="11">
        <f>SUMIFS(Concentrado!G$2:G435,Concentrado!$A$2:$A435,"="&amp;$A7,Concentrado!$B$2:$B435, "=Querétaro")</f>
        <v>19</v>
      </c>
    </row>
    <row r="8" spans="1:6" x14ac:dyDescent="0.25">
      <c r="A8" s="8">
        <v>2018</v>
      </c>
      <c r="B8" s="11">
        <f>SUMIFS(Concentrado!C$2:C436,Concentrado!$A$2:$A436,"="&amp;$A8,Concentrado!$B$2:$B436, "=Querétaro")</f>
        <v>1035</v>
      </c>
      <c r="C8" s="11">
        <f>SUMIFS(Concentrado!D$2:D436,Concentrado!$A$2:$A436,"="&amp;$A8,Concentrado!$B$2:$B436, "=Querétaro")</f>
        <v>881</v>
      </c>
      <c r="D8" s="11">
        <f>SUMIFS(Concentrado!E$2:E436,Concentrado!$A$2:$A436,"="&amp;$A8,Concentrado!$B$2:$B436, "=Querétaro")</f>
        <v>779</v>
      </c>
      <c r="E8" s="11">
        <f>SUMIFS(Concentrado!F$2:F436,Concentrado!$A$2:$A436,"="&amp;$A8,Concentrado!$B$2:$B436, "=Querétaro")</f>
        <v>43</v>
      </c>
      <c r="F8" s="11">
        <f>SUMIFS(Concentrado!G$2:G436,Concentrado!$A$2:$A436,"="&amp;$A8,Concentrado!$B$2:$B436, "=Querétaro")</f>
        <v>19</v>
      </c>
    </row>
    <row r="9" spans="1:6" x14ac:dyDescent="0.25">
      <c r="A9" s="8">
        <v>2019</v>
      </c>
      <c r="B9" s="11">
        <f>SUMIFS(Concentrado!C$2:C437,Concentrado!$A$2:$A437,"="&amp;$A9,Concentrado!$B$2:$B437, "=Querétaro")</f>
        <v>1046</v>
      </c>
      <c r="C9" s="11">
        <f>SUMIFS(Concentrado!D$2:D437,Concentrado!$A$2:$A437,"="&amp;$A9,Concentrado!$B$2:$B437, "=Querétaro")</f>
        <v>899</v>
      </c>
      <c r="D9" s="11">
        <f>SUMIFS(Concentrado!E$2:E437,Concentrado!$A$2:$A437,"="&amp;$A9,Concentrado!$B$2:$B437, "=Querétaro")</f>
        <v>819</v>
      </c>
      <c r="E9" s="11">
        <f>SUMIFS(Concentrado!F$2:F437,Concentrado!$A$2:$A437,"="&amp;$A9,Concentrado!$B$2:$B437, "=Querétaro")</f>
        <v>54</v>
      </c>
      <c r="F9" s="11">
        <f>SUMIFS(Concentrado!G$2:G437,Concentrado!$A$2:$A437,"="&amp;$A9,Concentrado!$B$2:$B437, "=Querétaro")</f>
        <v>21</v>
      </c>
    </row>
    <row r="10" spans="1:6" x14ac:dyDescent="0.25">
      <c r="A10" s="8">
        <v>2020</v>
      </c>
      <c r="B10" s="11">
        <f>SUMIFS(Concentrado!C$2:C438,Concentrado!$A$2:$A438,"="&amp;$A10,Concentrado!$B$2:$B438, "=Querétaro")</f>
        <v>1142</v>
      </c>
      <c r="C10" s="11">
        <f>SUMIFS(Concentrado!D$2:D438,Concentrado!$A$2:$A438,"="&amp;$A10,Concentrado!$B$2:$B438, "=Querétaro")</f>
        <v>1173</v>
      </c>
      <c r="D10" s="11">
        <f>SUMIFS(Concentrado!E$2:E438,Concentrado!$A$2:$A438,"="&amp;$A10,Concentrado!$B$2:$B438, "=Querétaro")</f>
        <v>931</v>
      </c>
      <c r="E10" s="11">
        <f>SUMIFS(Concentrado!F$2:F438,Concentrado!$A$2:$A438,"="&amp;$A10,Concentrado!$B$2:$B438, "=Querétaro")</f>
        <v>55</v>
      </c>
      <c r="F10" s="11">
        <f>SUMIFS(Concentrado!G$2:G438,Concentrado!$A$2:$A438,"="&amp;$A10,Concentrado!$B$2:$B438, "=Querétaro")</f>
        <v>21</v>
      </c>
    </row>
    <row r="11" spans="1:6" x14ac:dyDescent="0.25">
      <c r="A11" s="8">
        <v>2021</v>
      </c>
      <c r="B11" s="11">
        <f>SUMIFS(Concentrado!C$2:C439,Concentrado!$A$2:$A439,"="&amp;$A11,Concentrado!$B$2:$B439, "=Querétaro")</f>
        <v>1210</v>
      </c>
      <c r="C11" s="11">
        <f>SUMIFS(Concentrado!D$2:D439,Concentrado!$A$2:$A439,"="&amp;$A11,Concentrado!$B$2:$B439, "=Querétaro")</f>
        <v>1296</v>
      </c>
      <c r="D11" s="11">
        <f>SUMIFS(Concentrado!E$2:E439,Concentrado!$A$2:$A439,"="&amp;$A11,Concentrado!$B$2:$B439, "=Querétaro")</f>
        <v>992</v>
      </c>
      <c r="E11" s="11">
        <f>SUMIFS(Concentrado!F$2:F439,Concentrado!$A$2:$A439,"="&amp;$A11,Concentrado!$B$2:$B439, "=Querétaro")</f>
        <v>58</v>
      </c>
      <c r="F11" s="11">
        <f>SUMIFS(Concentrado!G$2:G439,Concentrado!$A$2:$A439,"="&amp;$A11,Concentrado!$B$2:$B439, "=Querétaro")</f>
        <v>17</v>
      </c>
    </row>
    <row r="12" spans="1:6" x14ac:dyDescent="0.25">
      <c r="A12" s="8">
        <v>2022</v>
      </c>
      <c r="B12" s="11">
        <f>SUMIFS(Concentrado!C$2:C440,Concentrado!$A$2:$A440,"="&amp;$A12,Concentrado!$B$2:$B440, "=Querétaro")</f>
        <v>1213</v>
      </c>
      <c r="C12" s="11">
        <f>SUMIFS(Concentrado!D$2:D440,Concentrado!$A$2:$A440,"="&amp;$A12,Concentrado!$B$2:$B440, "=Querétaro")</f>
        <v>1287</v>
      </c>
      <c r="D12" s="11">
        <f>SUMIFS(Concentrado!E$2:E440,Concentrado!$A$2:$A440,"="&amp;$A12,Concentrado!$B$2:$B440, "=Querétaro")</f>
        <v>711</v>
      </c>
      <c r="E12" s="11">
        <f>SUMIFS(Concentrado!F$2:F440,Concentrado!$A$2:$A440,"="&amp;$A12,Concentrado!$B$2:$B440, "=Querétaro")</f>
        <v>59</v>
      </c>
      <c r="F12" s="11">
        <f>SUMIFS(Concentrado!G$2:G440,Concentrado!$A$2:$A440,"="&amp;$A12,Concentrado!$B$2:$B440, "=Querétaro")</f>
        <v>17</v>
      </c>
    </row>
    <row r="13" spans="1:6" x14ac:dyDescent="0.25">
      <c r="A13" s="8">
        <v>2023</v>
      </c>
      <c r="B13" s="11">
        <f>SUMIFS(Concentrado!C$2:C441,Concentrado!$A$2:$A441,"="&amp;$A13,Concentrado!$B$2:$B441, "=Querétaro")</f>
        <v>1253</v>
      </c>
      <c r="C13" s="11">
        <f>SUMIFS(Concentrado!D$2:D441,Concentrado!$A$2:$A441,"="&amp;$A13,Concentrado!$B$2:$B441, "=Querétaro")</f>
        <v>1329</v>
      </c>
      <c r="D13" s="11">
        <f>SUMIFS(Concentrado!E$2:E441,Concentrado!$A$2:$A441,"="&amp;$A13,Concentrado!$B$2:$B441, "=Querétaro")</f>
        <v>815</v>
      </c>
      <c r="E13" s="11">
        <f>SUMIFS(Concentrado!F$2:F441,Concentrado!$A$2:$A441,"="&amp;$A13,Concentrado!$B$2:$B441, "=Querétaro")</f>
        <v>66</v>
      </c>
      <c r="F13" s="11">
        <f>SUMIFS(Concentrado!G$2:G441,Concentrado!$A$2:$A441,"="&amp;$A13,Concentrado!$B$2:$B441, "=Querétaro")</f>
        <v>16</v>
      </c>
    </row>
    <row r="14" spans="1:6" x14ac:dyDescent="0.25">
      <c r="A14" s="8">
        <v>2024</v>
      </c>
      <c r="B14" s="11">
        <f>SUMIFS(Concentrado!C$2:C442,Concentrado!$A$2:$A442,"="&amp;$A14,Concentrado!$B$2:$B442, "=Querétaro")</f>
        <v>1345</v>
      </c>
      <c r="C14" s="11">
        <f>SUMIFS(Concentrado!D$2:D442,Concentrado!$A$2:$A442,"="&amp;$A14,Concentrado!$B$2:$B442, "=Querétaro")</f>
        <v>1336</v>
      </c>
      <c r="D14" s="11">
        <f>SUMIFS(Concentrado!E$2:E442,Concentrado!$A$2:$A442,"="&amp;$A14,Concentrado!$B$2:$B442, "=Querétaro")</f>
        <v>826</v>
      </c>
      <c r="E14" s="11">
        <f>SUMIFS(Concentrado!F$2:F442,Concentrado!$A$2:$A442,"="&amp;$A14,Concentrado!$B$2:$B442, "=Querétaro")</f>
        <v>63</v>
      </c>
      <c r="F14" s="11">
        <f>SUMIFS(Concentrado!G$2:G442,Concentrado!$A$2:$A442,"="&amp;$A14,Concentrado!$B$2:$B442, "=Querétaro")</f>
        <v>16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zoomScale="112" zoomScaleNormal="112" workbookViewId="0">
      <selection activeCell="F14" sqref="F14"/>
    </sheetView>
  </sheetViews>
  <sheetFormatPr baseColWidth="10" defaultRowHeight="15" x14ac:dyDescent="0.25"/>
  <cols>
    <col min="1" max="1" width="12.140625" customWidth="1"/>
    <col min="2" max="2" width="13.28515625" bestFit="1" customWidth="1"/>
    <col min="3" max="3" width="12.42578125" bestFit="1" customWidth="1"/>
    <col min="4" max="4" width="19.140625" customWidth="1"/>
    <col min="5" max="5" width="12.28515625" bestFit="1" customWidth="1"/>
    <col min="6" max="6" width="12" bestFit="1" customWidth="1"/>
  </cols>
  <sheetData>
    <row r="1" spans="1:6" s="4" customFormat="1" ht="42.75" x14ac:dyDescent="0.2">
      <c r="A1" s="1" t="s">
        <v>0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</row>
    <row r="2" spans="1:6" x14ac:dyDescent="0.25">
      <c r="A2" s="8">
        <v>2012</v>
      </c>
      <c r="B2" s="11">
        <f>SUMIFS(Concentrado!C$2:C430,Concentrado!$A$2:$A430,"="&amp;$A2,Concentrado!$B$2:$B430, "=Quintana Roo")</f>
        <v>829</v>
      </c>
      <c r="C2" s="11">
        <f>SUMIFS(Concentrado!D$2:D430,Concentrado!$A$2:$A430,"="&amp;$A2,Concentrado!$B$2:$B430, "=Quintana Roo")</f>
        <v>968</v>
      </c>
      <c r="D2" s="11">
        <f>SUMIFS(Concentrado!E$2:E430,Concentrado!$A$2:$A430,"="&amp;$A2,Concentrado!$B$2:$B430, "=Quintana Roo")</f>
        <v>596</v>
      </c>
      <c r="E2" s="11">
        <f>SUMIFS(Concentrado!F$2:F430,Concentrado!$A$2:$A430,"="&amp;$A2,Concentrado!$B$2:$B430, "=Quintana Roo")</f>
        <v>50</v>
      </c>
      <c r="F2" s="11">
        <f>SUMIFS(Concentrado!G$2:G430,Concentrado!$A$2:$A430,"="&amp;$A2,Concentrado!$B$2:$B430, "=Quintana Roo")</f>
        <v>28</v>
      </c>
    </row>
    <row r="3" spans="1:6" x14ac:dyDescent="0.25">
      <c r="A3" s="8">
        <v>2013</v>
      </c>
      <c r="B3" s="11">
        <f>SUMIFS(Concentrado!C$2:C431,Concentrado!$A$2:$A431,"="&amp;$A3,Concentrado!$B$2:$B431, "=Quintana Roo")</f>
        <v>810</v>
      </c>
      <c r="C3" s="11">
        <f>SUMIFS(Concentrado!D$2:D431,Concentrado!$A$2:$A431,"="&amp;$A3,Concentrado!$B$2:$B431, "=Quintana Roo")</f>
        <v>927</v>
      </c>
      <c r="D3" s="11">
        <f>SUMIFS(Concentrado!E$2:E431,Concentrado!$A$2:$A431,"="&amp;$A3,Concentrado!$B$2:$B431, "=Quintana Roo")</f>
        <v>655</v>
      </c>
      <c r="E3" s="11">
        <f>SUMIFS(Concentrado!F$2:F431,Concentrado!$A$2:$A431,"="&amp;$A3,Concentrado!$B$2:$B431, "=Quintana Roo")</f>
        <v>48</v>
      </c>
      <c r="F3" s="11">
        <f>SUMIFS(Concentrado!G$2:G431,Concentrado!$A$2:$A431,"="&amp;$A3,Concentrado!$B$2:$B431, "=Quintana Roo")</f>
        <v>29</v>
      </c>
    </row>
    <row r="4" spans="1:6" x14ac:dyDescent="0.25">
      <c r="A4" s="8">
        <v>2014</v>
      </c>
      <c r="B4" s="11">
        <f>SUMIFS(Concentrado!C$2:C432,Concentrado!$A$2:$A432,"="&amp;$A4,Concentrado!$B$2:$B432, "=Quintana Roo")</f>
        <v>849</v>
      </c>
      <c r="C4" s="11">
        <f>SUMIFS(Concentrado!D$2:D432,Concentrado!$A$2:$A432,"="&amp;$A4,Concentrado!$B$2:$B432, "=Quintana Roo")</f>
        <v>911</v>
      </c>
      <c r="D4" s="11">
        <f>SUMIFS(Concentrado!E$2:E432,Concentrado!$A$2:$A432,"="&amp;$A4,Concentrado!$B$2:$B432, "=Quintana Roo")</f>
        <v>628</v>
      </c>
      <c r="E4" s="11">
        <f>SUMIFS(Concentrado!F$2:F432,Concentrado!$A$2:$A432,"="&amp;$A4,Concentrado!$B$2:$B432, "=Quintana Roo")</f>
        <v>44</v>
      </c>
      <c r="F4" s="11">
        <f>SUMIFS(Concentrado!G$2:G432,Concentrado!$A$2:$A432,"="&amp;$A4,Concentrado!$B$2:$B432, "=Quintana Roo")</f>
        <v>29</v>
      </c>
    </row>
    <row r="5" spans="1:6" x14ac:dyDescent="0.25">
      <c r="A5" s="8">
        <v>2015</v>
      </c>
      <c r="B5" s="11">
        <f>SUMIFS(Concentrado!C$2:C433,Concentrado!$A$2:$A433,"="&amp;$A5,Concentrado!$B$2:$B433, "=Quintana Roo")</f>
        <v>869</v>
      </c>
      <c r="C5" s="11">
        <f>SUMIFS(Concentrado!D$2:D433,Concentrado!$A$2:$A433,"="&amp;$A5,Concentrado!$B$2:$B433, "=Quintana Roo")</f>
        <v>909</v>
      </c>
      <c r="D5" s="11">
        <f>SUMIFS(Concentrado!E$2:E433,Concentrado!$A$2:$A433,"="&amp;$A5,Concentrado!$B$2:$B433, "=Quintana Roo")</f>
        <v>583</v>
      </c>
      <c r="E5" s="11">
        <f>SUMIFS(Concentrado!F$2:F433,Concentrado!$A$2:$A433,"="&amp;$A5,Concentrado!$B$2:$B433, "=Quintana Roo")</f>
        <v>44</v>
      </c>
      <c r="F5" s="11">
        <f>SUMIFS(Concentrado!G$2:G433,Concentrado!$A$2:$A433,"="&amp;$A5,Concentrado!$B$2:$B433, "=Quintana Roo")</f>
        <v>28</v>
      </c>
    </row>
    <row r="6" spans="1:6" x14ac:dyDescent="0.25">
      <c r="A6" s="8">
        <v>2016</v>
      </c>
      <c r="B6" s="11">
        <f>SUMIFS(Concentrado!C$2:C434,Concentrado!$A$2:$A434,"="&amp;$A6,Concentrado!$B$2:$B434, "=Quintana Roo")</f>
        <v>871</v>
      </c>
      <c r="C6" s="11">
        <f>SUMIFS(Concentrado!D$2:D434,Concentrado!$A$2:$A434,"="&amp;$A6,Concentrado!$B$2:$B434, "=Quintana Roo")</f>
        <v>881</v>
      </c>
      <c r="D6" s="11">
        <f>SUMIFS(Concentrado!E$2:E434,Concentrado!$A$2:$A434,"="&amp;$A6,Concentrado!$B$2:$B434, "=Quintana Roo")</f>
        <v>566</v>
      </c>
      <c r="E6" s="11">
        <f>SUMIFS(Concentrado!F$2:F434,Concentrado!$A$2:$A434,"="&amp;$A6,Concentrado!$B$2:$B434, "=Quintana Roo")</f>
        <v>44</v>
      </c>
      <c r="F6" s="11">
        <f>SUMIFS(Concentrado!G$2:G434,Concentrado!$A$2:$A434,"="&amp;$A6,Concentrado!$B$2:$B434, "=Quintana Roo")</f>
        <v>28</v>
      </c>
    </row>
    <row r="7" spans="1:6" x14ac:dyDescent="0.25">
      <c r="A7" s="8">
        <v>2017</v>
      </c>
      <c r="B7" s="11">
        <f>SUMIFS(Concentrado!C$2:C435,Concentrado!$A$2:$A435,"="&amp;$A7,Concentrado!$B$2:$B435, "=Quintana Roo")</f>
        <v>889</v>
      </c>
      <c r="C7" s="11">
        <f>SUMIFS(Concentrado!D$2:D435,Concentrado!$A$2:$A435,"="&amp;$A7,Concentrado!$B$2:$B435, "=Quintana Roo")</f>
        <v>983</v>
      </c>
      <c r="D7" s="11">
        <f>SUMIFS(Concentrado!E$2:E435,Concentrado!$A$2:$A435,"="&amp;$A7,Concentrado!$B$2:$B435, "=Quintana Roo")</f>
        <v>573</v>
      </c>
      <c r="E7" s="11">
        <f>SUMIFS(Concentrado!F$2:F435,Concentrado!$A$2:$A435,"="&amp;$A7,Concentrado!$B$2:$B435, "=Quintana Roo")</f>
        <v>50</v>
      </c>
      <c r="F7" s="11">
        <f>SUMIFS(Concentrado!G$2:G435,Concentrado!$A$2:$A435,"="&amp;$A7,Concentrado!$B$2:$B435, "=Quintana Roo")</f>
        <v>27</v>
      </c>
    </row>
    <row r="8" spans="1:6" x14ac:dyDescent="0.25">
      <c r="A8" s="8">
        <v>2018</v>
      </c>
      <c r="B8" s="11">
        <f>SUMIFS(Concentrado!C$2:C436,Concentrado!$A$2:$A436,"="&amp;$A8,Concentrado!$B$2:$B436, "=Quintana Roo")</f>
        <v>907</v>
      </c>
      <c r="C8" s="11">
        <f>SUMIFS(Concentrado!D$2:D436,Concentrado!$A$2:$A436,"="&amp;$A8,Concentrado!$B$2:$B436, "=Quintana Roo")</f>
        <v>1030</v>
      </c>
      <c r="D8" s="11">
        <f>SUMIFS(Concentrado!E$2:E436,Concentrado!$A$2:$A436,"="&amp;$A8,Concentrado!$B$2:$B436, "=Quintana Roo")</f>
        <v>581</v>
      </c>
      <c r="E8" s="11">
        <f>SUMIFS(Concentrado!F$2:F436,Concentrado!$A$2:$A436,"="&amp;$A8,Concentrado!$B$2:$B436, "=Quintana Roo")</f>
        <v>49</v>
      </c>
      <c r="F8" s="11">
        <f>SUMIFS(Concentrado!G$2:G436,Concentrado!$A$2:$A436,"="&amp;$A8,Concentrado!$B$2:$B436, "=Quintana Roo")</f>
        <v>28</v>
      </c>
    </row>
    <row r="9" spans="1:6" x14ac:dyDescent="0.25">
      <c r="A9" s="8">
        <v>2019</v>
      </c>
      <c r="B9" s="11">
        <f>SUMIFS(Concentrado!C$2:C437,Concentrado!$A$2:$A437,"="&amp;$A9,Concentrado!$B$2:$B437, "=Quintana Roo")</f>
        <v>898</v>
      </c>
      <c r="C9" s="11">
        <f>SUMIFS(Concentrado!D$2:D437,Concentrado!$A$2:$A437,"="&amp;$A9,Concentrado!$B$2:$B437, "=Quintana Roo")</f>
        <v>1047</v>
      </c>
      <c r="D9" s="11">
        <f>SUMIFS(Concentrado!E$2:E437,Concentrado!$A$2:$A437,"="&amp;$A9,Concentrado!$B$2:$B437, "=Quintana Roo")</f>
        <v>626</v>
      </c>
      <c r="E9" s="11">
        <f>SUMIFS(Concentrado!F$2:F437,Concentrado!$A$2:$A437,"="&amp;$A9,Concentrado!$B$2:$B437, "=Quintana Roo")</f>
        <v>51</v>
      </c>
      <c r="F9" s="11">
        <f>SUMIFS(Concentrado!G$2:G437,Concentrado!$A$2:$A437,"="&amp;$A9,Concentrado!$B$2:$B437, "=Quintana Roo")</f>
        <v>29</v>
      </c>
    </row>
    <row r="10" spans="1:6" x14ac:dyDescent="0.25">
      <c r="A10" s="8">
        <v>2020</v>
      </c>
      <c r="B10" s="11">
        <f>SUMIFS(Concentrado!C$2:C438,Concentrado!$A$2:$A438,"="&amp;$A10,Concentrado!$B$2:$B438, "=Quintana Roo")</f>
        <v>907</v>
      </c>
      <c r="C10" s="11">
        <f>SUMIFS(Concentrado!D$2:D438,Concentrado!$A$2:$A438,"="&amp;$A10,Concentrado!$B$2:$B438, "=Quintana Roo")</f>
        <v>1147</v>
      </c>
      <c r="D10" s="11">
        <f>SUMIFS(Concentrado!E$2:E438,Concentrado!$A$2:$A438,"="&amp;$A10,Concentrado!$B$2:$B438, "=Quintana Roo")</f>
        <v>610</v>
      </c>
      <c r="E10" s="11">
        <f>SUMIFS(Concentrado!F$2:F438,Concentrado!$A$2:$A438,"="&amp;$A10,Concentrado!$B$2:$B438, "=Quintana Roo")</f>
        <v>53</v>
      </c>
      <c r="F10" s="11">
        <f>SUMIFS(Concentrado!G$2:G438,Concentrado!$A$2:$A438,"="&amp;$A10,Concentrado!$B$2:$B438, "=Quintana Roo")</f>
        <v>26</v>
      </c>
    </row>
    <row r="11" spans="1:6" x14ac:dyDescent="0.25">
      <c r="A11" s="8">
        <v>2021</v>
      </c>
      <c r="B11" s="11">
        <f>SUMIFS(Concentrado!C$2:C439,Concentrado!$A$2:$A439,"="&amp;$A11,Concentrado!$B$2:$B439, "=Quintana Roo")</f>
        <v>932</v>
      </c>
      <c r="C11" s="11">
        <f>SUMIFS(Concentrado!D$2:D439,Concentrado!$A$2:$A439,"="&amp;$A11,Concentrado!$B$2:$B439, "=Quintana Roo")</f>
        <v>1036</v>
      </c>
      <c r="D11" s="11">
        <f>SUMIFS(Concentrado!E$2:E439,Concentrado!$A$2:$A439,"="&amp;$A11,Concentrado!$B$2:$B439, "=Quintana Roo")</f>
        <v>582</v>
      </c>
      <c r="E11" s="11">
        <f>SUMIFS(Concentrado!F$2:F439,Concentrado!$A$2:$A439,"="&amp;$A11,Concentrado!$B$2:$B439, "=Quintana Roo")</f>
        <v>50</v>
      </c>
      <c r="F11" s="11">
        <f>SUMIFS(Concentrado!G$2:G439,Concentrado!$A$2:$A439,"="&amp;$A11,Concentrado!$B$2:$B439, "=Quintana Roo")</f>
        <v>25</v>
      </c>
    </row>
    <row r="12" spans="1:6" x14ac:dyDescent="0.25">
      <c r="A12" s="8">
        <v>2022</v>
      </c>
      <c r="B12" s="11">
        <f>SUMIFS(Concentrado!C$2:C440,Concentrado!$A$2:$A440,"="&amp;$A12,Concentrado!$B$2:$B440, "=Quintana Roo")</f>
        <v>1086</v>
      </c>
      <c r="C12" s="11">
        <f>SUMIFS(Concentrado!D$2:D440,Concentrado!$A$2:$A440,"="&amp;$A12,Concentrado!$B$2:$B440, "=Quintana Roo")</f>
        <v>1062</v>
      </c>
      <c r="D12" s="11">
        <f>SUMIFS(Concentrado!E$2:E440,Concentrado!$A$2:$A440,"="&amp;$A12,Concentrado!$B$2:$B440, "=Quintana Roo")</f>
        <v>545</v>
      </c>
      <c r="E12" s="11">
        <f>SUMIFS(Concentrado!F$2:F440,Concentrado!$A$2:$A440,"="&amp;$A12,Concentrado!$B$2:$B440, "=Quintana Roo")</f>
        <v>50</v>
      </c>
      <c r="F12" s="11">
        <f>SUMIFS(Concentrado!G$2:G440,Concentrado!$A$2:$A440,"="&amp;$A12,Concentrado!$B$2:$B440, "=Quintana Roo")</f>
        <v>26</v>
      </c>
    </row>
    <row r="13" spans="1:6" x14ac:dyDescent="0.25">
      <c r="A13" s="8">
        <v>2023</v>
      </c>
      <c r="B13" s="11">
        <f>SUMIFS(Concentrado!C$2:C441,Concentrado!$A$2:$A441,"="&amp;$A13,Concentrado!$B$2:$B441, "=Quintana Roo")</f>
        <v>1117</v>
      </c>
      <c r="C13" s="11">
        <f>SUMIFS(Concentrado!D$2:D441,Concentrado!$A$2:$A441,"="&amp;$A13,Concentrado!$B$2:$B441, "=Quintana Roo")</f>
        <v>1212</v>
      </c>
      <c r="D13" s="11">
        <f>SUMIFS(Concentrado!E$2:E441,Concentrado!$A$2:$A441,"="&amp;$A13,Concentrado!$B$2:$B441, "=Quintana Roo")</f>
        <v>570</v>
      </c>
      <c r="E13" s="11">
        <f>SUMIFS(Concentrado!F$2:F441,Concentrado!$A$2:$A441,"="&amp;$A13,Concentrado!$B$2:$B441, "=Quintana Roo")</f>
        <v>46</v>
      </c>
      <c r="F13" s="11">
        <f>SUMIFS(Concentrado!G$2:G441,Concentrado!$A$2:$A441,"="&amp;$A13,Concentrado!$B$2:$B441, "=Quintana Roo")</f>
        <v>26</v>
      </c>
    </row>
    <row r="14" spans="1:6" x14ac:dyDescent="0.25">
      <c r="A14" s="8">
        <v>2024</v>
      </c>
      <c r="B14" s="11">
        <f>SUMIFS(Concentrado!C$2:C442,Concentrado!$A$2:$A442,"="&amp;$A14,Concentrado!$B$2:$B442, "=Quintana Roo")</f>
        <v>923</v>
      </c>
      <c r="C14" s="11">
        <f>SUMIFS(Concentrado!D$2:D442,Concentrado!$A$2:$A442,"="&amp;$A14,Concentrado!$B$2:$B442, "=Quintana Roo")</f>
        <v>1210</v>
      </c>
      <c r="D14" s="11">
        <f>SUMIFS(Concentrado!E$2:E442,Concentrado!$A$2:$A442,"="&amp;$A14,Concentrado!$B$2:$B442, "=Quintana Roo")</f>
        <v>676</v>
      </c>
      <c r="E14" s="11">
        <f>SUMIFS(Concentrado!F$2:F442,Concentrado!$A$2:$A442,"="&amp;$A14,Concentrado!$B$2:$B442, "=Quintana Roo")</f>
        <v>50</v>
      </c>
      <c r="F14" s="11">
        <f>SUMIFS(Concentrado!G$2:G442,Concentrado!$A$2:$A442,"="&amp;$A14,Concentrado!$B$2:$B442, "=Quintana Roo")</f>
        <v>26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zoomScale="112" zoomScaleNormal="112" workbookViewId="0">
      <selection activeCell="F14" sqref="F14"/>
    </sheetView>
  </sheetViews>
  <sheetFormatPr baseColWidth="10" defaultRowHeight="15" x14ac:dyDescent="0.25"/>
  <cols>
    <col min="1" max="1" width="12.140625" customWidth="1"/>
    <col min="2" max="2" width="13.28515625" bestFit="1" customWidth="1"/>
    <col min="3" max="3" width="12.42578125" bestFit="1" customWidth="1"/>
    <col min="4" max="4" width="19.140625" customWidth="1"/>
    <col min="5" max="5" width="12.28515625" bestFit="1" customWidth="1"/>
    <col min="6" max="6" width="12" bestFit="1" customWidth="1"/>
  </cols>
  <sheetData>
    <row r="1" spans="1:6" s="4" customFormat="1" ht="42.75" x14ac:dyDescent="0.2">
      <c r="A1" s="1" t="s">
        <v>0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</row>
    <row r="2" spans="1:6" x14ac:dyDescent="0.25">
      <c r="A2" s="8">
        <v>2012</v>
      </c>
      <c r="B2" s="11">
        <f>SUMIFS(Concentrado!C$2:C430,Concentrado!$A$2:$A430,"="&amp;$A2,Concentrado!$B$2:$B430, "=San Luis Potosí")</f>
        <v>1428</v>
      </c>
      <c r="C2" s="11">
        <f>SUMIFS(Concentrado!D$2:D430,Concentrado!$A$2:$A430,"="&amp;$A2,Concentrado!$B$2:$B430, "=San Luis Potosí")</f>
        <v>2003</v>
      </c>
      <c r="D2" s="11">
        <f>SUMIFS(Concentrado!E$2:E430,Concentrado!$A$2:$A430,"="&amp;$A2,Concentrado!$B$2:$B430, "=San Luis Potosí")</f>
        <v>1209</v>
      </c>
      <c r="E2" s="11">
        <f>SUMIFS(Concentrado!F$2:F430,Concentrado!$A$2:$A430,"="&amp;$A2,Concentrado!$B$2:$B430, "=San Luis Potosí")</f>
        <v>72</v>
      </c>
      <c r="F2" s="11">
        <f>SUMIFS(Concentrado!G$2:G430,Concentrado!$A$2:$A430,"="&amp;$A2,Concentrado!$B$2:$B430, "=San Luis Potosí")</f>
        <v>36</v>
      </c>
    </row>
    <row r="3" spans="1:6" x14ac:dyDescent="0.25">
      <c r="A3" s="8">
        <v>2013</v>
      </c>
      <c r="B3" s="11">
        <f>SUMIFS(Concentrado!C$2:C431,Concentrado!$A$2:$A431,"="&amp;$A3,Concentrado!$B$2:$B431, "=San Luis Potosí")</f>
        <v>1463</v>
      </c>
      <c r="C3" s="11">
        <f>SUMIFS(Concentrado!D$2:D431,Concentrado!$A$2:$A431,"="&amp;$A3,Concentrado!$B$2:$B431, "=San Luis Potosí")</f>
        <v>2421</v>
      </c>
      <c r="D3" s="11">
        <f>SUMIFS(Concentrado!E$2:E431,Concentrado!$A$2:$A431,"="&amp;$A3,Concentrado!$B$2:$B431, "=San Luis Potosí")</f>
        <v>1261</v>
      </c>
      <c r="E3" s="11">
        <f>SUMIFS(Concentrado!F$2:F431,Concentrado!$A$2:$A431,"="&amp;$A3,Concentrado!$B$2:$B431, "=San Luis Potosí")</f>
        <v>77</v>
      </c>
      <c r="F3" s="11">
        <f>SUMIFS(Concentrado!G$2:G431,Concentrado!$A$2:$A431,"="&amp;$A3,Concentrado!$B$2:$B431, "=San Luis Potosí")</f>
        <v>36</v>
      </c>
    </row>
    <row r="4" spans="1:6" x14ac:dyDescent="0.25">
      <c r="A4" s="8">
        <v>2014</v>
      </c>
      <c r="B4" s="11">
        <f>SUMIFS(Concentrado!C$2:C432,Concentrado!$A$2:$A432,"="&amp;$A4,Concentrado!$B$2:$B432, "=San Luis Potosí")</f>
        <v>1549</v>
      </c>
      <c r="C4" s="11">
        <f>SUMIFS(Concentrado!D$2:D432,Concentrado!$A$2:$A432,"="&amp;$A4,Concentrado!$B$2:$B432, "=San Luis Potosí")</f>
        <v>2416</v>
      </c>
      <c r="D4" s="11">
        <f>SUMIFS(Concentrado!E$2:E432,Concentrado!$A$2:$A432,"="&amp;$A4,Concentrado!$B$2:$B432, "=San Luis Potosí")</f>
        <v>1210</v>
      </c>
      <c r="E4" s="11">
        <f>SUMIFS(Concentrado!F$2:F432,Concentrado!$A$2:$A432,"="&amp;$A4,Concentrado!$B$2:$B432, "=San Luis Potosí")</f>
        <v>75</v>
      </c>
      <c r="F4" s="11">
        <f>SUMIFS(Concentrado!G$2:G432,Concentrado!$A$2:$A432,"="&amp;$A4,Concentrado!$B$2:$B432, "=San Luis Potosí")</f>
        <v>33</v>
      </c>
    </row>
    <row r="5" spans="1:6" x14ac:dyDescent="0.25">
      <c r="A5" s="8">
        <v>2015</v>
      </c>
      <c r="B5" s="11">
        <f>SUMIFS(Concentrado!C$2:C433,Concentrado!$A$2:$A433,"="&amp;$A5,Concentrado!$B$2:$B433, "=San Luis Potosí")</f>
        <v>1555</v>
      </c>
      <c r="C5" s="11">
        <f>SUMIFS(Concentrado!D$2:D433,Concentrado!$A$2:$A433,"="&amp;$A5,Concentrado!$B$2:$B433, "=San Luis Potosí")</f>
        <v>1860</v>
      </c>
      <c r="D5" s="11">
        <f>SUMIFS(Concentrado!E$2:E433,Concentrado!$A$2:$A433,"="&amp;$A5,Concentrado!$B$2:$B433, "=San Luis Potosí")</f>
        <v>979</v>
      </c>
      <c r="E5" s="11">
        <f>SUMIFS(Concentrado!F$2:F433,Concentrado!$A$2:$A433,"="&amp;$A5,Concentrado!$B$2:$B433, "=San Luis Potosí")</f>
        <v>77</v>
      </c>
      <c r="F5" s="11">
        <f>SUMIFS(Concentrado!G$2:G433,Concentrado!$A$2:$A433,"="&amp;$A5,Concentrado!$B$2:$B433, "=San Luis Potosí")</f>
        <v>37</v>
      </c>
    </row>
    <row r="6" spans="1:6" x14ac:dyDescent="0.25">
      <c r="A6" s="8">
        <v>2016</v>
      </c>
      <c r="B6" s="11">
        <f>SUMIFS(Concentrado!C$2:C434,Concentrado!$A$2:$A434,"="&amp;$A6,Concentrado!$B$2:$B434, "=San Luis Potosí")</f>
        <v>1723</v>
      </c>
      <c r="C6" s="11">
        <f>SUMIFS(Concentrado!D$2:D434,Concentrado!$A$2:$A434,"="&amp;$A6,Concentrado!$B$2:$B434, "=San Luis Potosí")</f>
        <v>1865</v>
      </c>
      <c r="D6" s="11">
        <f>SUMIFS(Concentrado!E$2:E434,Concentrado!$A$2:$A434,"="&amp;$A6,Concentrado!$B$2:$B434, "=San Luis Potosí")</f>
        <v>955</v>
      </c>
      <c r="E6" s="11">
        <f>SUMIFS(Concentrado!F$2:F434,Concentrado!$A$2:$A434,"="&amp;$A6,Concentrado!$B$2:$B434, "=San Luis Potosí")</f>
        <v>77</v>
      </c>
      <c r="F6" s="11">
        <f>SUMIFS(Concentrado!G$2:G434,Concentrado!$A$2:$A434,"="&amp;$A6,Concentrado!$B$2:$B434, "=San Luis Potosí")</f>
        <v>43</v>
      </c>
    </row>
    <row r="7" spans="1:6" x14ac:dyDescent="0.25">
      <c r="A7" s="8">
        <v>2017</v>
      </c>
      <c r="B7" s="11">
        <f>SUMIFS(Concentrado!C$2:C435,Concentrado!$A$2:$A435,"="&amp;$A7,Concentrado!$B$2:$B435, "=San Luis Potosí")</f>
        <v>1753</v>
      </c>
      <c r="C7" s="11">
        <f>SUMIFS(Concentrado!D$2:D435,Concentrado!$A$2:$A435,"="&amp;$A7,Concentrado!$B$2:$B435, "=San Luis Potosí")</f>
        <v>1940</v>
      </c>
      <c r="D7" s="11">
        <f>SUMIFS(Concentrado!E$2:E435,Concentrado!$A$2:$A435,"="&amp;$A7,Concentrado!$B$2:$B435, "=San Luis Potosí")</f>
        <v>992</v>
      </c>
      <c r="E7" s="11">
        <f>SUMIFS(Concentrado!F$2:F435,Concentrado!$A$2:$A435,"="&amp;$A7,Concentrado!$B$2:$B435, "=San Luis Potosí")</f>
        <v>82</v>
      </c>
      <c r="F7" s="11">
        <f>SUMIFS(Concentrado!G$2:G435,Concentrado!$A$2:$A435,"="&amp;$A7,Concentrado!$B$2:$B435, "=San Luis Potosí")</f>
        <v>44</v>
      </c>
    </row>
    <row r="8" spans="1:6" x14ac:dyDescent="0.25">
      <c r="A8" s="8">
        <v>2018</v>
      </c>
      <c r="B8" s="11">
        <f>SUMIFS(Concentrado!C$2:C436,Concentrado!$A$2:$A436,"="&amp;$A8,Concentrado!$B$2:$B436, "=San Luis Potosí")</f>
        <v>1817</v>
      </c>
      <c r="C8" s="11">
        <f>SUMIFS(Concentrado!D$2:D436,Concentrado!$A$2:$A436,"="&amp;$A8,Concentrado!$B$2:$B436, "=San Luis Potosí")</f>
        <v>2021</v>
      </c>
      <c r="D8" s="11">
        <f>SUMIFS(Concentrado!E$2:E436,Concentrado!$A$2:$A436,"="&amp;$A8,Concentrado!$B$2:$B436, "=San Luis Potosí")</f>
        <v>1058</v>
      </c>
      <c r="E8" s="11">
        <f>SUMIFS(Concentrado!F$2:F436,Concentrado!$A$2:$A436,"="&amp;$A8,Concentrado!$B$2:$B436, "=San Luis Potosí")</f>
        <v>82</v>
      </c>
      <c r="F8" s="11">
        <f>SUMIFS(Concentrado!G$2:G436,Concentrado!$A$2:$A436,"="&amp;$A8,Concentrado!$B$2:$B436, "=San Luis Potosí")</f>
        <v>43</v>
      </c>
    </row>
    <row r="9" spans="1:6" x14ac:dyDescent="0.25">
      <c r="A9" s="8">
        <v>2019</v>
      </c>
      <c r="B9" s="11">
        <f>SUMIFS(Concentrado!C$2:C437,Concentrado!$A$2:$A437,"="&amp;$A9,Concentrado!$B$2:$B437, "=San Luis Potosí")</f>
        <v>1748</v>
      </c>
      <c r="C9" s="11">
        <f>SUMIFS(Concentrado!D$2:D437,Concentrado!$A$2:$A437,"="&amp;$A9,Concentrado!$B$2:$B437, "=San Luis Potosí")</f>
        <v>1822</v>
      </c>
      <c r="D9" s="11">
        <f>SUMIFS(Concentrado!E$2:E437,Concentrado!$A$2:$A437,"="&amp;$A9,Concentrado!$B$2:$B437, "=San Luis Potosí")</f>
        <v>1036</v>
      </c>
      <c r="E9" s="11">
        <f>SUMIFS(Concentrado!F$2:F437,Concentrado!$A$2:$A437,"="&amp;$A9,Concentrado!$B$2:$B437, "=San Luis Potosí")</f>
        <v>83</v>
      </c>
      <c r="F9" s="11">
        <f>SUMIFS(Concentrado!G$2:G437,Concentrado!$A$2:$A437,"="&amp;$A9,Concentrado!$B$2:$B437, "=San Luis Potosí")</f>
        <v>40</v>
      </c>
    </row>
    <row r="10" spans="1:6" x14ac:dyDescent="0.25">
      <c r="A10" s="8">
        <v>2020</v>
      </c>
      <c r="B10" s="11">
        <f>SUMIFS(Concentrado!C$2:C438,Concentrado!$A$2:$A438,"="&amp;$A10,Concentrado!$B$2:$B438, "=San Luis Potosí")</f>
        <v>2097</v>
      </c>
      <c r="C10" s="11">
        <f>SUMIFS(Concentrado!D$2:D438,Concentrado!$A$2:$A438,"="&amp;$A10,Concentrado!$B$2:$B438, "=San Luis Potosí")</f>
        <v>2120</v>
      </c>
      <c r="D10" s="11">
        <f>SUMIFS(Concentrado!E$2:E438,Concentrado!$A$2:$A438,"="&amp;$A10,Concentrado!$B$2:$B438, "=San Luis Potosí")</f>
        <v>1270</v>
      </c>
      <c r="E10" s="11">
        <f>SUMIFS(Concentrado!F$2:F438,Concentrado!$A$2:$A438,"="&amp;$A10,Concentrado!$B$2:$B438, "=San Luis Potosí")</f>
        <v>104</v>
      </c>
      <c r="F10" s="11">
        <f>SUMIFS(Concentrado!G$2:G438,Concentrado!$A$2:$A438,"="&amp;$A10,Concentrado!$B$2:$B438, "=San Luis Potosí")</f>
        <v>46</v>
      </c>
    </row>
    <row r="11" spans="1:6" x14ac:dyDescent="0.25">
      <c r="A11" s="8">
        <v>2021</v>
      </c>
      <c r="B11" s="11">
        <f>SUMIFS(Concentrado!C$2:C439,Concentrado!$A$2:$A439,"="&amp;$A11,Concentrado!$B$2:$B439, "=San Luis Potosí")</f>
        <v>1908</v>
      </c>
      <c r="C11" s="11">
        <f>SUMIFS(Concentrado!D$2:D439,Concentrado!$A$2:$A439,"="&amp;$A11,Concentrado!$B$2:$B439, "=San Luis Potosí")</f>
        <v>2157</v>
      </c>
      <c r="D11" s="11">
        <f>SUMIFS(Concentrado!E$2:E439,Concentrado!$A$2:$A439,"="&amp;$A11,Concentrado!$B$2:$B439, "=San Luis Potosí")</f>
        <v>1290</v>
      </c>
      <c r="E11" s="11">
        <f>SUMIFS(Concentrado!F$2:F439,Concentrado!$A$2:$A439,"="&amp;$A11,Concentrado!$B$2:$B439, "=San Luis Potosí")</f>
        <v>107</v>
      </c>
      <c r="F11" s="11">
        <f>SUMIFS(Concentrado!G$2:G439,Concentrado!$A$2:$A439,"="&amp;$A11,Concentrado!$B$2:$B439, "=San Luis Potosí")</f>
        <v>44</v>
      </c>
    </row>
    <row r="12" spans="1:6" x14ac:dyDescent="0.25">
      <c r="A12" s="8">
        <v>2022</v>
      </c>
      <c r="B12" s="11">
        <f>SUMIFS(Concentrado!C$2:C440,Concentrado!$A$2:$A440,"="&amp;$A12,Concentrado!$B$2:$B440, "=San Luis Potosí")</f>
        <v>1996</v>
      </c>
      <c r="C12" s="11">
        <f>SUMIFS(Concentrado!D$2:D440,Concentrado!$A$2:$A440,"="&amp;$A12,Concentrado!$B$2:$B440, "=San Luis Potosí")</f>
        <v>2241</v>
      </c>
      <c r="D12" s="11">
        <f>SUMIFS(Concentrado!E$2:E440,Concentrado!$A$2:$A440,"="&amp;$A12,Concentrado!$B$2:$B440, "=San Luis Potosí")</f>
        <v>1293</v>
      </c>
      <c r="E12" s="11">
        <f>SUMIFS(Concentrado!F$2:F440,Concentrado!$A$2:$A440,"="&amp;$A12,Concentrado!$B$2:$B440, "=San Luis Potosí")</f>
        <v>117</v>
      </c>
      <c r="F12" s="11">
        <f>SUMIFS(Concentrado!G$2:G440,Concentrado!$A$2:$A440,"="&amp;$A12,Concentrado!$B$2:$B440, "=San Luis Potosí")</f>
        <v>42</v>
      </c>
    </row>
    <row r="13" spans="1:6" x14ac:dyDescent="0.25">
      <c r="A13" s="8">
        <v>2023</v>
      </c>
      <c r="B13" s="11">
        <f>SUMIFS(Concentrado!C$2:C441,Concentrado!$A$2:$A441,"="&amp;$A13,Concentrado!$B$2:$B441, "=San Luis Potosí")</f>
        <v>1971</v>
      </c>
      <c r="C13" s="11">
        <f>SUMIFS(Concentrado!D$2:D441,Concentrado!$A$2:$A441,"="&amp;$A13,Concentrado!$B$2:$B441, "=San Luis Potosí")</f>
        <v>2240</v>
      </c>
      <c r="D13" s="11">
        <f>SUMIFS(Concentrado!E$2:E441,Concentrado!$A$2:$A441,"="&amp;$A13,Concentrado!$B$2:$B441, "=San Luis Potosí")</f>
        <v>1295</v>
      </c>
      <c r="E13" s="11">
        <f>SUMIFS(Concentrado!F$2:F441,Concentrado!$A$2:$A441,"="&amp;$A13,Concentrado!$B$2:$B441, "=San Luis Potosí")</f>
        <v>114</v>
      </c>
      <c r="F13" s="11">
        <f>SUMIFS(Concentrado!G$2:G441,Concentrado!$A$2:$A441,"="&amp;$A13,Concentrado!$B$2:$B441, "=San Luis Potosí")</f>
        <v>42</v>
      </c>
    </row>
    <row r="14" spans="1:6" x14ac:dyDescent="0.25">
      <c r="A14" s="8">
        <v>2024</v>
      </c>
      <c r="B14" s="11">
        <f>SUMIFS(Concentrado!C$2:C442,Concentrado!$A$2:$A442,"="&amp;$A14,Concentrado!$B$2:$B442, "=San Luis Potosí")</f>
        <v>1999</v>
      </c>
      <c r="C14" s="11">
        <f>SUMIFS(Concentrado!D$2:D442,Concentrado!$A$2:$A442,"="&amp;$A14,Concentrado!$B$2:$B442, "=San Luis Potosí")</f>
        <v>2258</v>
      </c>
      <c r="D14" s="11">
        <f>SUMIFS(Concentrado!E$2:E442,Concentrado!$A$2:$A442,"="&amp;$A14,Concentrado!$B$2:$B442, "=San Luis Potosí")</f>
        <v>1305</v>
      </c>
      <c r="E14" s="11">
        <f>SUMIFS(Concentrado!F$2:F442,Concentrado!$A$2:$A442,"="&amp;$A14,Concentrado!$B$2:$B442, "=San Luis Potosí")</f>
        <v>115</v>
      </c>
      <c r="F14" s="11">
        <f>SUMIFS(Concentrado!G$2:G442,Concentrado!$A$2:$A442,"="&amp;$A14,Concentrado!$B$2:$B442, "=San Luis Potosí")</f>
        <v>44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zoomScale="112" zoomScaleNormal="112" workbookViewId="0">
      <selection activeCell="F14" sqref="F14"/>
    </sheetView>
  </sheetViews>
  <sheetFormatPr baseColWidth="10" defaultRowHeight="15" x14ac:dyDescent="0.25"/>
  <cols>
    <col min="1" max="1" width="12.140625" customWidth="1"/>
    <col min="2" max="2" width="13.28515625" bestFit="1" customWidth="1"/>
    <col min="3" max="3" width="12.42578125" bestFit="1" customWidth="1"/>
    <col min="4" max="4" width="19.140625" customWidth="1"/>
    <col min="5" max="5" width="12.28515625" bestFit="1" customWidth="1"/>
    <col min="6" max="6" width="12" bestFit="1" customWidth="1"/>
  </cols>
  <sheetData>
    <row r="1" spans="1:6" s="4" customFormat="1" ht="42.75" x14ac:dyDescent="0.2">
      <c r="A1" s="1" t="s">
        <v>0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</row>
    <row r="2" spans="1:6" x14ac:dyDescent="0.25">
      <c r="A2" s="8">
        <v>2012</v>
      </c>
      <c r="B2" s="11">
        <f>SUMIFS(Concentrado!C$2:C430,Concentrado!$A$2:$A430,"="&amp;$A2,Concentrado!$B$2:$B430, "=Sinaloa")</f>
        <v>1786</v>
      </c>
      <c r="C2" s="11">
        <f>SUMIFS(Concentrado!D$2:D430,Concentrado!$A$2:$A430,"="&amp;$A2,Concentrado!$B$2:$B430, "=Sinaloa")</f>
        <v>2053</v>
      </c>
      <c r="D2" s="11">
        <f>SUMIFS(Concentrado!E$2:E430,Concentrado!$A$2:$A430,"="&amp;$A2,Concentrado!$B$2:$B430, "=Sinaloa")</f>
        <v>1435</v>
      </c>
      <c r="E2" s="11">
        <f>SUMIFS(Concentrado!F$2:F430,Concentrado!$A$2:$A430,"="&amp;$A2,Concentrado!$B$2:$B430, "=Sinaloa")</f>
        <v>116</v>
      </c>
      <c r="F2" s="11">
        <f>SUMIFS(Concentrado!G$2:G430,Concentrado!$A$2:$A430,"="&amp;$A2,Concentrado!$B$2:$B430, "=Sinaloa")</f>
        <v>60</v>
      </c>
    </row>
    <row r="3" spans="1:6" x14ac:dyDescent="0.25">
      <c r="A3" s="8">
        <v>2013</v>
      </c>
      <c r="B3" s="11">
        <f>SUMIFS(Concentrado!C$2:C431,Concentrado!$A$2:$A431,"="&amp;$A3,Concentrado!$B$2:$B431, "=Sinaloa")</f>
        <v>1815</v>
      </c>
      <c r="C3" s="11">
        <f>SUMIFS(Concentrado!D$2:D431,Concentrado!$A$2:$A431,"="&amp;$A3,Concentrado!$B$2:$B431, "=Sinaloa")</f>
        <v>2090</v>
      </c>
      <c r="D3" s="11">
        <f>SUMIFS(Concentrado!E$2:E431,Concentrado!$A$2:$A431,"="&amp;$A3,Concentrado!$B$2:$B431, "=Sinaloa")</f>
        <v>1583</v>
      </c>
      <c r="E3" s="11">
        <f>SUMIFS(Concentrado!F$2:F431,Concentrado!$A$2:$A431,"="&amp;$A3,Concentrado!$B$2:$B431, "=Sinaloa")</f>
        <v>132</v>
      </c>
      <c r="F3" s="11">
        <f>SUMIFS(Concentrado!G$2:G431,Concentrado!$A$2:$A431,"="&amp;$A3,Concentrado!$B$2:$B431, "=Sinaloa")</f>
        <v>63</v>
      </c>
    </row>
    <row r="4" spans="1:6" x14ac:dyDescent="0.25">
      <c r="A4" s="8">
        <v>2014</v>
      </c>
      <c r="B4" s="11">
        <f>SUMIFS(Concentrado!C$2:C432,Concentrado!$A$2:$A432,"="&amp;$A4,Concentrado!$B$2:$B432, "=Sinaloa")</f>
        <v>1896</v>
      </c>
      <c r="C4" s="11">
        <f>SUMIFS(Concentrado!D$2:D432,Concentrado!$A$2:$A432,"="&amp;$A4,Concentrado!$B$2:$B432, "=Sinaloa")</f>
        <v>2207</v>
      </c>
      <c r="D4" s="11">
        <f>SUMIFS(Concentrado!E$2:E432,Concentrado!$A$2:$A432,"="&amp;$A4,Concentrado!$B$2:$B432, "=Sinaloa")</f>
        <v>1545</v>
      </c>
      <c r="E4" s="11">
        <f>SUMIFS(Concentrado!F$2:F432,Concentrado!$A$2:$A432,"="&amp;$A4,Concentrado!$B$2:$B432, "=Sinaloa")</f>
        <v>132</v>
      </c>
      <c r="F4" s="11">
        <f>SUMIFS(Concentrado!G$2:G432,Concentrado!$A$2:$A432,"="&amp;$A4,Concentrado!$B$2:$B432, "=Sinaloa")</f>
        <v>64</v>
      </c>
    </row>
    <row r="5" spans="1:6" x14ac:dyDescent="0.25">
      <c r="A5" s="8">
        <v>2015</v>
      </c>
      <c r="B5" s="11">
        <f>SUMIFS(Concentrado!C$2:C433,Concentrado!$A$2:$A433,"="&amp;$A5,Concentrado!$B$2:$B433, "=Sinaloa")</f>
        <v>1910</v>
      </c>
      <c r="C5" s="11">
        <f>SUMIFS(Concentrado!D$2:D433,Concentrado!$A$2:$A433,"="&amp;$A5,Concentrado!$B$2:$B433, "=Sinaloa")</f>
        <v>2220</v>
      </c>
      <c r="D5" s="11">
        <f>SUMIFS(Concentrado!E$2:E433,Concentrado!$A$2:$A433,"="&amp;$A5,Concentrado!$B$2:$B433, "=Sinaloa")</f>
        <v>1182</v>
      </c>
      <c r="E5" s="11">
        <f>SUMIFS(Concentrado!F$2:F433,Concentrado!$A$2:$A433,"="&amp;$A5,Concentrado!$B$2:$B433, "=Sinaloa")</f>
        <v>125</v>
      </c>
      <c r="F5" s="11">
        <f>SUMIFS(Concentrado!G$2:G433,Concentrado!$A$2:$A433,"="&amp;$A5,Concentrado!$B$2:$B433, "=Sinaloa")</f>
        <v>61</v>
      </c>
    </row>
    <row r="6" spans="1:6" x14ac:dyDescent="0.25">
      <c r="A6" s="8">
        <v>2016</v>
      </c>
      <c r="B6" s="11">
        <f>SUMIFS(Concentrado!C$2:C434,Concentrado!$A$2:$A434,"="&amp;$A6,Concentrado!$B$2:$B434, "=Sinaloa")</f>
        <v>1919</v>
      </c>
      <c r="C6" s="11">
        <f>SUMIFS(Concentrado!D$2:D434,Concentrado!$A$2:$A434,"="&amp;$A6,Concentrado!$B$2:$B434, "=Sinaloa")</f>
        <v>2303</v>
      </c>
      <c r="D6" s="11">
        <f>SUMIFS(Concentrado!E$2:E434,Concentrado!$A$2:$A434,"="&amp;$A6,Concentrado!$B$2:$B434, "=Sinaloa")</f>
        <v>1176</v>
      </c>
      <c r="E6" s="11">
        <f>SUMIFS(Concentrado!F$2:F434,Concentrado!$A$2:$A434,"="&amp;$A6,Concentrado!$B$2:$B434, "=Sinaloa")</f>
        <v>131</v>
      </c>
      <c r="F6" s="11">
        <f>SUMIFS(Concentrado!G$2:G434,Concentrado!$A$2:$A434,"="&amp;$A6,Concentrado!$B$2:$B434, "=Sinaloa")</f>
        <v>60</v>
      </c>
    </row>
    <row r="7" spans="1:6" x14ac:dyDescent="0.25">
      <c r="A7" s="8">
        <v>2017</v>
      </c>
      <c r="B7" s="11">
        <f>SUMIFS(Concentrado!C$2:C435,Concentrado!$A$2:$A435,"="&amp;$A7,Concentrado!$B$2:$B435, "=Sinaloa")</f>
        <v>1960</v>
      </c>
      <c r="C7" s="11">
        <f>SUMIFS(Concentrado!D$2:D435,Concentrado!$A$2:$A435,"="&amp;$A7,Concentrado!$B$2:$B435, "=Sinaloa")</f>
        <v>2375</v>
      </c>
      <c r="D7" s="11">
        <f>SUMIFS(Concentrado!E$2:E435,Concentrado!$A$2:$A435,"="&amp;$A7,Concentrado!$B$2:$B435, "=Sinaloa")</f>
        <v>1175</v>
      </c>
      <c r="E7" s="11">
        <f>SUMIFS(Concentrado!F$2:F435,Concentrado!$A$2:$A435,"="&amp;$A7,Concentrado!$B$2:$B435, "=Sinaloa")</f>
        <v>131</v>
      </c>
      <c r="F7" s="11">
        <f>SUMIFS(Concentrado!G$2:G435,Concentrado!$A$2:$A435,"="&amp;$A7,Concentrado!$B$2:$B435, "=Sinaloa")</f>
        <v>57</v>
      </c>
    </row>
    <row r="8" spans="1:6" x14ac:dyDescent="0.25">
      <c r="A8" s="8">
        <v>2018</v>
      </c>
      <c r="B8" s="11">
        <f>SUMIFS(Concentrado!C$2:C436,Concentrado!$A$2:$A436,"="&amp;$A8,Concentrado!$B$2:$B436, "=Sinaloa")</f>
        <v>2009</v>
      </c>
      <c r="C8" s="11">
        <f>SUMIFS(Concentrado!D$2:D436,Concentrado!$A$2:$A436,"="&amp;$A8,Concentrado!$B$2:$B436, "=Sinaloa")</f>
        <v>2382</v>
      </c>
      <c r="D8" s="11">
        <f>SUMIFS(Concentrado!E$2:E436,Concentrado!$A$2:$A436,"="&amp;$A8,Concentrado!$B$2:$B436, "=Sinaloa")</f>
        <v>1129</v>
      </c>
      <c r="E8" s="11">
        <f>SUMIFS(Concentrado!F$2:F436,Concentrado!$A$2:$A436,"="&amp;$A8,Concentrado!$B$2:$B436, "=Sinaloa")</f>
        <v>121</v>
      </c>
      <c r="F8" s="11">
        <f>SUMIFS(Concentrado!G$2:G436,Concentrado!$A$2:$A436,"="&amp;$A8,Concentrado!$B$2:$B436, "=Sinaloa")</f>
        <v>56</v>
      </c>
    </row>
    <row r="9" spans="1:6" x14ac:dyDescent="0.25">
      <c r="A9" s="8">
        <v>2019</v>
      </c>
      <c r="B9" s="11">
        <f>SUMIFS(Concentrado!C$2:C437,Concentrado!$A$2:$A437,"="&amp;$A9,Concentrado!$B$2:$B437, "=Sinaloa")</f>
        <v>2014</v>
      </c>
      <c r="C9" s="11">
        <f>SUMIFS(Concentrado!D$2:D437,Concentrado!$A$2:$A437,"="&amp;$A9,Concentrado!$B$2:$B437, "=Sinaloa")</f>
        <v>2206</v>
      </c>
      <c r="D9" s="11">
        <f>SUMIFS(Concentrado!E$2:E437,Concentrado!$A$2:$A437,"="&amp;$A9,Concentrado!$B$2:$B437, "=Sinaloa")</f>
        <v>1124</v>
      </c>
      <c r="E9" s="11">
        <f>SUMIFS(Concentrado!F$2:F437,Concentrado!$A$2:$A437,"="&amp;$A9,Concentrado!$B$2:$B437, "=Sinaloa")</f>
        <v>118</v>
      </c>
      <c r="F9" s="11">
        <f>SUMIFS(Concentrado!G$2:G437,Concentrado!$A$2:$A437,"="&amp;$A9,Concentrado!$B$2:$B437, "=Sinaloa")</f>
        <v>55</v>
      </c>
    </row>
    <row r="10" spans="1:6" x14ac:dyDescent="0.25">
      <c r="A10" s="8">
        <v>2020</v>
      </c>
      <c r="B10" s="11">
        <f>SUMIFS(Concentrado!C$2:C438,Concentrado!$A$2:$A438,"="&amp;$A10,Concentrado!$B$2:$B438, "=Sinaloa")</f>
        <v>2095</v>
      </c>
      <c r="C10" s="11">
        <f>SUMIFS(Concentrado!D$2:D438,Concentrado!$A$2:$A438,"="&amp;$A10,Concentrado!$B$2:$B438, "=Sinaloa")</f>
        <v>2522</v>
      </c>
      <c r="D10" s="11">
        <f>SUMIFS(Concentrado!E$2:E438,Concentrado!$A$2:$A438,"="&amp;$A10,Concentrado!$B$2:$B438, "=Sinaloa")</f>
        <v>1262</v>
      </c>
      <c r="E10" s="11">
        <f>SUMIFS(Concentrado!F$2:F438,Concentrado!$A$2:$A438,"="&amp;$A10,Concentrado!$B$2:$B438, "=Sinaloa")</f>
        <v>112</v>
      </c>
      <c r="F10" s="11">
        <f>SUMIFS(Concentrado!G$2:G438,Concentrado!$A$2:$A438,"="&amp;$A10,Concentrado!$B$2:$B438, "=Sinaloa")</f>
        <v>60</v>
      </c>
    </row>
    <row r="11" spans="1:6" x14ac:dyDescent="0.25">
      <c r="A11" s="8">
        <v>2021</v>
      </c>
      <c r="B11" s="11">
        <f>SUMIFS(Concentrado!C$2:C439,Concentrado!$A$2:$A439,"="&amp;$A11,Concentrado!$B$2:$B439, "=Sinaloa")</f>
        <v>2065</v>
      </c>
      <c r="C11" s="11">
        <f>SUMIFS(Concentrado!D$2:D439,Concentrado!$A$2:$A439,"="&amp;$A11,Concentrado!$B$2:$B439, "=Sinaloa")</f>
        <v>2521</v>
      </c>
      <c r="D11" s="11">
        <f>SUMIFS(Concentrado!E$2:E439,Concentrado!$A$2:$A439,"="&amp;$A11,Concentrado!$B$2:$B439, "=Sinaloa")</f>
        <v>1219</v>
      </c>
      <c r="E11" s="11">
        <f>SUMIFS(Concentrado!F$2:F439,Concentrado!$A$2:$A439,"="&amp;$A11,Concentrado!$B$2:$B439, "=Sinaloa")</f>
        <v>109</v>
      </c>
      <c r="F11" s="11">
        <f>SUMIFS(Concentrado!G$2:G439,Concentrado!$A$2:$A439,"="&amp;$A11,Concentrado!$B$2:$B439, "=Sinaloa")</f>
        <v>59</v>
      </c>
    </row>
    <row r="12" spans="1:6" x14ac:dyDescent="0.25">
      <c r="A12" s="8">
        <v>2022</v>
      </c>
      <c r="B12" s="11">
        <f>SUMIFS(Concentrado!C$2:C440,Concentrado!$A$2:$A440,"="&amp;$A12,Concentrado!$B$2:$B440, "=Sinaloa")</f>
        <v>2220</v>
      </c>
      <c r="C12" s="11">
        <f>SUMIFS(Concentrado!D$2:D440,Concentrado!$A$2:$A440,"="&amp;$A12,Concentrado!$B$2:$B440, "=Sinaloa")</f>
        <v>2520</v>
      </c>
      <c r="D12" s="11">
        <f>SUMIFS(Concentrado!E$2:E440,Concentrado!$A$2:$A440,"="&amp;$A12,Concentrado!$B$2:$B440, "=Sinaloa")</f>
        <v>1180</v>
      </c>
      <c r="E12" s="11">
        <f>SUMIFS(Concentrado!F$2:F440,Concentrado!$A$2:$A440,"="&amp;$A12,Concentrado!$B$2:$B440, "=Sinaloa")</f>
        <v>127</v>
      </c>
      <c r="F12" s="11">
        <f>SUMIFS(Concentrado!G$2:G440,Concentrado!$A$2:$A440,"="&amp;$A12,Concentrado!$B$2:$B440, "=Sinaloa")</f>
        <v>59</v>
      </c>
    </row>
    <row r="13" spans="1:6" x14ac:dyDescent="0.25">
      <c r="A13" s="8">
        <v>2023</v>
      </c>
      <c r="B13" s="11">
        <f>SUMIFS(Concentrado!C$2:C441,Concentrado!$A$2:$A441,"="&amp;$A13,Concentrado!$B$2:$B441, "=Sinaloa")</f>
        <v>2323</v>
      </c>
      <c r="C13" s="11">
        <f>SUMIFS(Concentrado!D$2:D441,Concentrado!$A$2:$A441,"="&amp;$A13,Concentrado!$B$2:$B441, "=Sinaloa")</f>
        <v>2573</v>
      </c>
      <c r="D13" s="11">
        <f>SUMIFS(Concentrado!E$2:E441,Concentrado!$A$2:$A441,"="&amp;$A13,Concentrado!$B$2:$B441, "=Sinaloa")</f>
        <v>1245</v>
      </c>
      <c r="E13" s="11">
        <f>SUMIFS(Concentrado!F$2:F441,Concentrado!$A$2:$A441,"="&amp;$A13,Concentrado!$B$2:$B441, "=Sinaloa")</f>
        <v>111</v>
      </c>
      <c r="F13" s="11">
        <f>SUMIFS(Concentrado!G$2:G441,Concentrado!$A$2:$A441,"="&amp;$A13,Concentrado!$B$2:$B441, "=Sinaloa")</f>
        <v>55</v>
      </c>
    </row>
    <row r="14" spans="1:6" x14ac:dyDescent="0.25">
      <c r="A14" s="8">
        <v>2024</v>
      </c>
      <c r="B14" s="11">
        <f>SUMIFS(Concentrado!C$2:C442,Concentrado!$A$2:$A442,"="&amp;$A14,Concentrado!$B$2:$B442, "=Sinaloa")</f>
        <v>2372</v>
      </c>
      <c r="C14" s="11">
        <f>SUMIFS(Concentrado!D$2:D442,Concentrado!$A$2:$A442,"="&amp;$A14,Concentrado!$B$2:$B442, "=Sinaloa")</f>
        <v>2566</v>
      </c>
      <c r="D14" s="11">
        <f>SUMIFS(Concentrado!E$2:E442,Concentrado!$A$2:$A442,"="&amp;$A14,Concentrado!$B$2:$B442, "=Sinaloa")</f>
        <v>1324</v>
      </c>
      <c r="E14" s="11">
        <f>SUMIFS(Concentrado!F$2:F442,Concentrado!$A$2:$A442,"="&amp;$A14,Concentrado!$B$2:$B442, "=Sinaloa")</f>
        <v>117</v>
      </c>
      <c r="F14" s="11">
        <f>SUMIFS(Concentrado!G$2:G442,Concentrado!$A$2:$A442,"="&amp;$A14,Concentrado!$B$2:$B442, "=Sinaloa")</f>
        <v>56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zoomScale="112" zoomScaleNormal="112" workbookViewId="0">
      <selection activeCell="F14" sqref="F14"/>
    </sheetView>
  </sheetViews>
  <sheetFormatPr baseColWidth="10" defaultRowHeight="15" x14ac:dyDescent="0.25"/>
  <cols>
    <col min="1" max="1" width="12.140625" customWidth="1"/>
    <col min="2" max="2" width="13.28515625" bestFit="1" customWidth="1"/>
    <col min="3" max="3" width="12.42578125" bestFit="1" customWidth="1"/>
    <col min="4" max="4" width="19.140625" customWidth="1"/>
    <col min="5" max="5" width="12.28515625" bestFit="1" customWidth="1"/>
    <col min="6" max="6" width="12" bestFit="1" customWidth="1"/>
  </cols>
  <sheetData>
    <row r="1" spans="1:6" s="4" customFormat="1" ht="42.75" x14ac:dyDescent="0.2">
      <c r="A1" s="1" t="s">
        <v>0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</row>
    <row r="2" spans="1:6" x14ac:dyDescent="0.25">
      <c r="A2" s="8">
        <v>2012</v>
      </c>
      <c r="B2" s="11">
        <f>SUMIFS(Concentrado!C$2:C430,Concentrado!$A$2:$A430,"="&amp;$A2,Concentrado!$B$2:$B430, "=Sonora")</f>
        <v>1573</v>
      </c>
      <c r="C2" s="11">
        <f>SUMIFS(Concentrado!D$2:D430,Concentrado!$A$2:$A430,"="&amp;$A2,Concentrado!$B$2:$B430, "=Sonora")</f>
        <v>2495</v>
      </c>
      <c r="D2" s="11">
        <f>SUMIFS(Concentrado!E$2:E430,Concentrado!$A$2:$A430,"="&amp;$A2,Concentrado!$B$2:$B430, "=Sonora")</f>
        <v>1206</v>
      </c>
      <c r="E2" s="11">
        <f>SUMIFS(Concentrado!F$2:F430,Concentrado!$A$2:$A430,"="&amp;$A2,Concentrado!$B$2:$B430, "=Sonora")</f>
        <v>93</v>
      </c>
      <c r="F2" s="11">
        <f>SUMIFS(Concentrado!G$2:G430,Concentrado!$A$2:$A430,"="&amp;$A2,Concentrado!$B$2:$B430, "=Sonora")</f>
        <v>46</v>
      </c>
    </row>
    <row r="3" spans="1:6" x14ac:dyDescent="0.25">
      <c r="A3" s="8">
        <v>2013</v>
      </c>
      <c r="B3" s="11">
        <f>SUMIFS(Concentrado!C$2:C431,Concentrado!$A$2:$A431,"="&amp;$A3,Concentrado!$B$2:$B431, "=Sonora")</f>
        <v>2012</v>
      </c>
      <c r="C3" s="11">
        <f>SUMIFS(Concentrado!D$2:D431,Concentrado!$A$2:$A431,"="&amp;$A3,Concentrado!$B$2:$B431, "=Sonora")</f>
        <v>2728</v>
      </c>
      <c r="D3" s="11">
        <f>SUMIFS(Concentrado!E$2:E431,Concentrado!$A$2:$A431,"="&amp;$A3,Concentrado!$B$2:$B431, "=Sonora")</f>
        <v>1403</v>
      </c>
      <c r="E3" s="11">
        <f>SUMIFS(Concentrado!F$2:F431,Concentrado!$A$2:$A431,"="&amp;$A3,Concentrado!$B$2:$B431, "=Sonora")</f>
        <v>113</v>
      </c>
      <c r="F3" s="11">
        <f>SUMIFS(Concentrado!G$2:G431,Concentrado!$A$2:$A431,"="&amp;$A3,Concentrado!$B$2:$B431, "=Sonora")</f>
        <v>38</v>
      </c>
    </row>
    <row r="4" spans="1:6" x14ac:dyDescent="0.25">
      <c r="A4" s="8">
        <v>2014</v>
      </c>
      <c r="B4" s="11">
        <f>SUMIFS(Concentrado!C$2:C432,Concentrado!$A$2:$A432,"="&amp;$A4,Concentrado!$B$2:$B432, "=Sonora")</f>
        <v>2153</v>
      </c>
      <c r="C4" s="11">
        <f>SUMIFS(Concentrado!D$2:D432,Concentrado!$A$2:$A432,"="&amp;$A4,Concentrado!$B$2:$B432, "=Sonora")</f>
        <v>2901</v>
      </c>
      <c r="D4" s="11">
        <f>SUMIFS(Concentrado!E$2:E432,Concentrado!$A$2:$A432,"="&amp;$A4,Concentrado!$B$2:$B432, "=Sonora")</f>
        <v>1436</v>
      </c>
      <c r="E4" s="11">
        <f>SUMIFS(Concentrado!F$2:F432,Concentrado!$A$2:$A432,"="&amp;$A4,Concentrado!$B$2:$B432, "=Sonora")</f>
        <v>123</v>
      </c>
      <c r="F4" s="11">
        <f>SUMIFS(Concentrado!G$2:G432,Concentrado!$A$2:$A432,"="&amp;$A4,Concentrado!$B$2:$B432, "=Sonora")</f>
        <v>41</v>
      </c>
    </row>
    <row r="5" spans="1:6" x14ac:dyDescent="0.25">
      <c r="A5" s="8">
        <v>2015</v>
      </c>
      <c r="B5" s="11">
        <f>SUMIFS(Concentrado!C$2:C433,Concentrado!$A$2:$A433,"="&amp;$A5,Concentrado!$B$2:$B433, "=Sonora")</f>
        <v>2121</v>
      </c>
      <c r="C5" s="11">
        <f>SUMIFS(Concentrado!D$2:D433,Concentrado!$A$2:$A433,"="&amp;$A5,Concentrado!$B$2:$B433, "=Sonora")</f>
        <v>2846</v>
      </c>
      <c r="D5" s="11">
        <f>SUMIFS(Concentrado!E$2:E433,Concentrado!$A$2:$A433,"="&amp;$A5,Concentrado!$B$2:$B433, "=Sonora")</f>
        <v>1339</v>
      </c>
      <c r="E5" s="11">
        <f>SUMIFS(Concentrado!F$2:F433,Concentrado!$A$2:$A433,"="&amp;$A5,Concentrado!$B$2:$B433, "=Sonora")</f>
        <v>134</v>
      </c>
      <c r="F5" s="11">
        <f>SUMIFS(Concentrado!G$2:G433,Concentrado!$A$2:$A433,"="&amp;$A5,Concentrado!$B$2:$B433, "=Sonora")</f>
        <v>38</v>
      </c>
    </row>
    <row r="6" spans="1:6" x14ac:dyDescent="0.25">
      <c r="A6" s="8">
        <v>2016</v>
      </c>
      <c r="B6" s="11">
        <f>SUMIFS(Concentrado!C$2:C434,Concentrado!$A$2:$A434,"="&amp;$A6,Concentrado!$B$2:$B434, "=Sonora")</f>
        <v>2091</v>
      </c>
      <c r="C6" s="11">
        <f>SUMIFS(Concentrado!D$2:D434,Concentrado!$A$2:$A434,"="&amp;$A6,Concentrado!$B$2:$B434, "=Sonora")</f>
        <v>2906</v>
      </c>
      <c r="D6" s="11">
        <f>SUMIFS(Concentrado!E$2:E434,Concentrado!$A$2:$A434,"="&amp;$A6,Concentrado!$B$2:$B434, "=Sonora")</f>
        <v>1366</v>
      </c>
      <c r="E6" s="11">
        <f>SUMIFS(Concentrado!F$2:F434,Concentrado!$A$2:$A434,"="&amp;$A6,Concentrado!$B$2:$B434, "=Sonora")</f>
        <v>143</v>
      </c>
      <c r="F6" s="11">
        <f>SUMIFS(Concentrado!G$2:G434,Concentrado!$A$2:$A434,"="&amp;$A6,Concentrado!$B$2:$B434, "=Sonora")</f>
        <v>35</v>
      </c>
    </row>
    <row r="7" spans="1:6" x14ac:dyDescent="0.25">
      <c r="A7" s="8">
        <v>2017</v>
      </c>
      <c r="B7" s="11">
        <f>SUMIFS(Concentrado!C$2:C435,Concentrado!$A$2:$A435,"="&amp;$A7,Concentrado!$B$2:$B435, "=Sonora")</f>
        <v>2106</v>
      </c>
      <c r="C7" s="11">
        <f>SUMIFS(Concentrado!D$2:D435,Concentrado!$A$2:$A435,"="&amp;$A7,Concentrado!$B$2:$B435, "=Sonora")</f>
        <v>2922</v>
      </c>
      <c r="D7" s="11">
        <f>SUMIFS(Concentrado!E$2:E435,Concentrado!$A$2:$A435,"="&amp;$A7,Concentrado!$B$2:$B435, "=Sonora")</f>
        <v>1369</v>
      </c>
      <c r="E7" s="11">
        <f>SUMIFS(Concentrado!F$2:F435,Concentrado!$A$2:$A435,"="&amp;$A7,Concentrado!$B$2:$B435, "=Sonora")</f>
        <v>152</v>
      </c>
      <c r="F7" s="11">
        <f>SUMIFS(Concentrado!G$2:G435,Concentrado!$A$2:$A435,"="&amp;$A7,Concentrado!$B$2:$B435, "=Sonora")</f>
        <v>39</v>
      </c>
    </row>
    <row r="8" spans="1:6" x14ac:dyDescent="0.25">
      <c r="A8" s="8">
        <v>2018</v>
      </c>
      <c r="B8" s="11">
        <f>SUMIFS(Concentrado!C$2:C436,Concentrado!$A$2:$A436,"="&amp;$A8,Concentrado!$B$2:$B436, "=Sonora")</f>
        <v>2179</v>
      </c>
      <c r="C8" s="11">
        <f>SUMIFS(Concentrado!D$2:D436,Concentrado!$A$2:$A436,"="&amp;$A8,Concentrado!$B$2:$B436, "=Sonora")</f>
        <v>2894</v>
      </c>
      <c r="D8" s="11">
        <f>SUMIFS(Concentrado!E$2:E436,Concentrado!$A$2:$A436,"="&amp;$A8,Concentrado!$B$2:$B436, "=Sonora")</f>
        <v>1361</v>
      </c>
      <c r="E8" s="11">
        <f>SUMIFS(Concentrado!F$2:F436,Concentrado!$A$2:$A436,"="&amp;$A8,Concentrado!$B$2:$B436, "=Sonora")</f>
        <v>139</v>
      </c>
      <c r="F8" s="11">
        <f>SUMIFS(Concentrado!G$2:G436,Concentrado!$A$2:$A436,"="&amp;$A8,Concentrado!$B$2:$B436, "=Sonora")</f>
        <v>38</v>
      </c>
    </row>
    <row r="9" spans="1:6" x14ac:dyDescent="0.25">
      <c r="A9" s="8">
        <v>2019</v>
      </c>
      <c r="B9" s="11">
        <f>SUMIFS(Concentrado!C$2:C437,Concentrado!$A$2:$A437,"="&amp;$A9,Concentrado!$B$2:$B437, "=Sonora")</f>
        <v>2136</v>
      </c>
      <c r="C9" s="11">
        <f>SUMIFS(Concentrado!D$2:D437,Concentrado!$A$2:$A437,"="&amp;$A9,Concentrado!$B$2:$B437, "=Sonora")</f>
        <v>2876</v>
      </c>
      <c r="D9" s="11">
        <f>SUMIFS(Concentrado!E$2:E437,Concentrado!$A$2:$A437,"="&amp;$A9,Concentrado!$B$2:$B437, "=Sonora")</f>
        <v>1447</v>
      </c>
      <c r="E9" s="11">
        <f>SUMIFS(Concentrado!F$2:F437,Concentrado!$A$2:$A437,"="&amp;$A9,Concentrado!$B$2:$B437, "=Sonora")</f>
        <v>146</v>
      </c>
      <c r="F9" s="11">
        <f>SUMIFS(Concentrado!G$2:G437,Concentrado!$A$2:$A437,"="&amp;$A9,Concentrado!$B$2:$B437, "=Sonora")</f>
        <v>49</v>
      </c>
    </row>
    <row r="10" spans="1:6" x14ac:dyDescent="0.25">
      <c r="A10" s="8">
        <v>2020</v>
      </c>
      <c r="B10" s="11">
        <f>SUMIFS(Concentrado!C$2:C438,Concentrado!$A$2:$A438,"="&amp;$A10,Concentrado!$B$2:$B438, "=Sonora")</f>
        <v>1892</v>
      </c>
      <c r="C10" s="11">
        <f>SUMIFS(Concentrado!D$2:D438,Concentrado!$A$2:$A438,"="&amp;$A10,Concentrado!$B$2:$B438, "=Sonora")</f>
        <v>2735</v>
      </c>
      <c r="D10" s="11">
        <f>SUMIFS(Concentrado!E$2:E438,Concentrado!$A$2:$A438,"="&amp;$A10,Concentrado!$B$2:$B438, "=Sonora")</f>
        <v>1530</v>
      </c>
      <c r="E10" s="11">
        <f>SUMIFS(Concentrado!F$2:F438,Concentrado!$A$2:$A438,"="&amp;$A10,Concentrado!$B$2:$B438, "=Sonora")</f>
        <v>128</v>
      </c>
      <c r="F10" s="11">
        <f>SUMIFS(Concentrado!G$2:G438,Concentrado!$A$2:$A438,"="&amp;$A10,Concentrado!$B$2:$B438, "=Sonora")</f>
        <v>46</v>
      </c>
    </row>
    <row r="11" spans="1:6" x14ac:dyDescent="0.25">
      <c r="A11" s="8">
        <v>2021</v>
      </c>
      <c r="B11" s="11">
        <f>SUMIFS(Concentrado!C$2:C439,Concentrado!$A$2:$A439,"="&amp;$A11,Concentrado!$B$2:$B439, "=Sonora")</f>
        <v>2073</v>
      </c>
      <c r="C11" s="11">
        <f>SUMIFS(Concentrado!D$2:D439,Concentrado!$A$2:$A439,"="&amp;$A11,Concentrado!$B$2:$B439, "=Sonora")</f>
        <v>2813</v>
      </c>
      <c r="D11" s="11">
        <f>SUMIFS(Concentrado!E$2:E439,Concentrado!$A$2:$A439,"="&amp;$A11,Concentrado!$B$2:$B439, "=Sonora")</f>
        <v>1567</v>
      </c>
      <c r="E11" s="11">
        <f>SUMIFS(Concentrado!F$2:F439,Concentrado!$A$2:$A439,"="&amp;$A11,Concentrado!$B$2:$B439, "=Sonora")</f>
        <v>133</v>
      </c>
      <c r="F11" s="11">
        <f>SUMIFS(Concentrado!G$2:G439,Concentrado!$A$2:$A439,"="&amp;$A11,Concentrado!$B$2:$B439, "=Sonora")</f>
        <v>47</v>
      </c>
    </row>
    <row r="12" spans="1:6" x14ac:dyDescent="0.25">
      <c r="A12" s="8">
        <v>2022</v>
      </c>
      <c r="B12" s="11">
        <f>SUMIFS(Concentrado!C$2:C440,Concentrado!$A$2:$A440,"="&amp;$A12,Concentrado!$B$2:$B440, "=Sonora")</f>
        <v>2119</v>
      </c>
      <c r="C12" s="11">
        <f>SUMIFS(Concentrado!D$2:D440,Concentrado!$A$2:$A440,"="&amp;$A12,Concentrado!$B$2:$B440, "=Sonora")</f>
        <v>3153</v>
      </c>
      <c r="D12" s="11">
        <f>SUMIFS(Concentrado!E$2:E440,Concentrado!$A$2:$A440,"="&amp;$A12,Concentrado!$B$2:$B440, "=Sonora")</f>
        <v>1394</v>
      </c>
      <c r="E12" s="11">
        <f>SUMIFS(Concentrado!F$2:F440,Concentrado!$A$2:$A440,"="&amp;$A12,Concentrado!$B$2:$B440, "=Sonora")</f>
        <v>142</v>
      </c>
      <c r="F12" s="11">
        <f>SUMIFS(Concentrado!G$2:G440,Concentrado!$A$2:$A440,"="&amp;$A12,Concentrado!$B$2:$B440, "=Sonora")</f>
        <v>50</v>
      </c>
    </row>
    <row r="13" spans="1:6" x14ac:dyDescent="0.25">
      <c r="A13" s="8">
        <v>2023</v>
      </c>
      <c r="B13" s="11">
        <f>SUMIFS(Concentrado!C$2:C441,Concentrado!$A$2:$A441,"="&amp;$A13,Concentrado!$B$2:$B441, "=Sonora")</f>
        <v>2294</v>
      </c>
      <c r="C13" s="11">
        <f>SUMIFS(Concentrado!D$2:D441,Concentrado!$A$2:$A441,"="&amp;$A13,Concentrado!$B$2:$B441, "=Sonora")</f>
        <v>3283</v>
      </c>
      <c r="D13" s="11">
        <f>SUMIFS(Concentrado!E$2:E441,Concentrado!$A$2:$A441,"="&amp;$A13,Concentrado!$B$2:$B441, "=Sonora")</f>
        <v>1573</v>
      </c>
      <c r="E13" s="11">
        <f>SUMIFS(Concentrado!F$2:F441,Concentrado!$A$2:$A441,"="&amp;$A13,Concentrado!$B$2:$B441, "=Sonora")</f>
        <v>152</v>
      </c>
      <c r="F13" s="11">
        <f>SUMIFS(Concentrado!G$2:G441,Concentrado!$A$2:$A441,"="&amp;$A13,Concentrado!$B$2:$B441, "=Sonora")</f>
        <v>48</v>
      </c>
    </row>
    <row r="14" spans="1:6" x14ac:dyDescent="0.25">
      <c r="A14" s="8">
        <v>2024</v>
      </c>
      <c r="B14" s="11">
        <f>SUMIFS(Concentrado!C$2:C442,Concentrado!$A$2:$A442,"="&amp;$A14,Concentrado!$B$2:$B442, "=Sonora")</f>
        <v>2204</v>
      </c>
      <c r="C14" s="11">
        <f>SUMIFS(Concentrado!D$2:D442,Concentrado!$A$2:$A442,"="&amp;$A14,Concentrado!$B$2:$B442, "=Sonora")</f>
        <v>3093</v>
      </c>
      <c r="D14" s="11">
        <f>SUMIFS(Concentrado!E$2:E442,Concentrado!$A$2:$A442,"="&amp;$A14,Concentrado!$B$2:$B442, "=Sonora")</f>
        <v>1553</v>
      </c>
      <c r="E14" s="11">
        <f>SUMIFS(Concentrado!F$2:F442,Concentrado!$A$2:$A442,"="&amp;$A14,Concentrado!$B$2:$B442, "=Sonora")</f>
        <v>146</v>
      </c>
      <c r="F14" s="11">
        <f>SUMIFS(Concentrado!G$2:G442,Concentrado!$A$2:$A442,"="&amp;$A14,Concentrado!$B$2:$B442, "=Sonora")</f>
        <v>50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zoomScale="112" zoomScaleNormal="112" workbookViewId="0">
      <selection activeCell="F14" sqref="F14"/>
    </sheetView>
  </sheetViews>
  <sheetFormatPr baseColWidth="10" defaultRowHeight="15" x14ac:dyDescent="0.25"/>
  <cols>
    <col min="1" max="1" width="12.140625" customWidth="1"/>
    <col min="2" max="2" width="13.28515625" bestFit="1" customWidth="1"/>
    <col min="3" max="3" width="12.42578125" bestFit="1" customWidth="1"/>
    <col min="4" max="4" width="19.140625" customWidth="1"/>
    <col min="5" max="5" width="12.28515625" bestFit="1" customWidth="1"/>
    <col min="6" max="6" width="12" bestFit="1" customWidth="1"/>
  </cols>
  <sheetData>
    <row r="1" spans="1:6" s="4" customFormat="1" ht="42.75" x14ac:dyDescent="0.2">
      <c r="A1" s="1" t="s">
        <v>0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</row>
    <row r="2" spans="1:6" x14ac:dyDescent="0.25">
      <c r="A2" s="8">
        <v>2012</v>
      </c>
      <c r="B2" s="11">
        <f>SUMIFS(Concentrado!C$2:C430,Concentrado!$A$2:$A430,"="&amp;$A2,Concentrado!$B$2:$B430, "=Tabasco")</f>
        <v>1907</v>
      </c>
      <c r="C2" s="11">
        <f>SUMIFS(Concentrado!D$2:D430,Concentrado!$A$2:$A430,"="&amp;$A2,Concentrado!$B$2:$B430, "=Tabasco")</f>
        <v>1504</v>
      </c>
      <c r="D2" s="11">
        <f>SUMIFS(Concentrado!E$2:E430,Concentrado!$A$2:$A430,"="&amp;$A2,Concentrado!$B$2:$B430, "=Tabasco")</f>
        <v>1035</v>
      </c>
      <c r="E2" s="11">
        <f>SUMIFS(Concentrado!F$2:F430,Concentrado!$A$2:$A430,"="&amp;$A2,Concentrado!$B$2:$B430, "=Tabasco")</f>
        <v>79</v>
      </c>
      <c r="F2" s="11">
        <f>SUMIFS(Concentrado!G$2:G430,Concentrado!$A$2:$A430,"="&amp;$A2,Concentrado!$B$2:$B430, "=Tabasco")</f>
        <v>40</v>
      </c>
    </row>
    <row r="3" spans="1:6" x14ac:dyDescent="0.25">
      <c r="A3" s="8">
        <v>2013</v>
      </c>
      <c r="B3" s="11">
        <f>SUMIFS(Concentrado!C$2:C431,Concentrado!$A$2:$A431,"="&amp;$A3,Concentrado!$B$2:$B431, "=Tabasco")</f>
        <v>1990</v>
      </c>
      <c r="C3" s="11">
        <f>SUMIFS(Concentrado!D$2:D431,Concentrado!$A$2:$A431,"="&amp;$A3,Concentrado!$B$2:$B431, "=Tabasco")</f>
        <v>1550</v>
      </c>
      <c r="D3" s="11">
        <f>SUMIFS(Concentrado!E$2:E431,Concentrado!$A$2:$A431,"="&amp;$A3,Concentrado!$B$2:$B431, "=Tabasco")</f>
        <v>1200</v>
      </c>
      <c r="E3" s="11">
        <f>SUMIFS(Concentrado!F$2:F431,Concentrado!$A$2:$A431,"="&amp;$A3,Concentrado!$B$2:$B431, "=Tabasco")</f>
        <v>84</v>
      </c>
      <c r="F3" s="11">
        <f>SUMIFS(Concentrado!G$2:G431,Concentrado!$A$2:$A431,"="&amp;$A3,Concentrado!$B$2:$B431, "=Tabasco")</f>
        <v>43</v>
      </c>
    </row>
    <row r="4" spans="1:6" x14ac:dyDescent="0.25">
      <c r="A4" s="8">
        <v>2014</v>
      </c>
      <c r="B4" s="11">
        <f>SUMIFS(Concentrado!C$2:C432,Concentrado!$A$2:$A432,"="&amp;$A4,Concentrado!$B$2:$B432, "=Tabasco")</f>
        <v>2122</v>
      </c>
      <c r="C4" s="11">
        <f>SUMIFS(Concentrado!D$2:D432,Concentrado!$A$2:$A432,"="&amp;$A4,Concentrado!$B$2:$B432, "=Tabasco")</f>
        <v>1591</v>
      </c>
      <c r="D4" s="11">
        <f>SUMIFS(Concentrado!E$2:E432,Concentrado!$A$2:$A432,"="&amp;$A4,Concentrado!$B$2:$B432, "=Tabasco")</f>
        <v>1271</v>
      </c>
      <c r="E4" s="11">
        <f>SUMIFS(Concentrado!F$2:F432,Concentrado!$A$2:$A432,"="&amp;$A4,Concentrado!$B$2:$B432, "=Tabasco")</f>
        <v>85</v>
      </c>
      <c r="F4" s="11">
        <f>SUMIFS(Concentrado!G$2:G432,Concentrado!$A$2:$A432,"="&amp;$A4,Concentrado!$B$2:$B432, "=Tabasco")</f>
        <v>39</v>
      </c>
    </row>
    <row r="5" spans="1:6" x14ac:dyDescent="0.25">
      <c r="A5" s="8">
        <v>2015</v>
      </c>
      <c r="B5" s="11">
        <f>SUMIFS(Concentrado!C$2:C433,Concentrado!$A$2:$A433,"="&amp;$A5,Concentrado!$B$2:$B433, "=Tabasco")</f>
        <v>2130</v>
      </c>
      <c r="C5" s="11">
        <f>SUMIFS(Concentrado!D$2:D433,Concentrado!$A$2:$A433,"="&amp;$A5,Concentrado!$B$2:$B433, "=Tabasco")</f>
        <v>1579</v>
      </c>
      <c r="D5" s="11">
        <f>SUMIFS(Concentrado!E$2:E433,Concentrado!$A$2:$A433,"="&amp;$A5,Concentrado!$B$2:$B433, "=Tabasco")</f>
        <v>1336</v>
      </c>
      <c r="E5" s="11">
        <f>SUMIFS(Concentrado!F$2:F433,Concentrado!$A$2:$A433,"="&amp;$A5,Concentrado!$B$2:$B433, "=Tabasco")</f>
        <v>91</v>
      </c>
      <c r="F5" s="11">
        <f>SUMIFS(Concentrado!G$2:G433,Concentrado!$A$2:$A433,"="&amp;$A5,Concentrado!$B$2:$B433, "=Tabasco")</f>
        <v>38</v>
      </c>
    </row>
    <row r="6" spans="1:6" x14ac:dyDescent="0.25">
      <c r="A6" s="8">
        <v>2016</v>
      </c>
      <c r="B6" s="11">
        <f>SUMIFS(Concentrado!C$2:C434,Concentrado!$A$2:$A434,"="&amp;$A6,Concentrado!$B$2:$B434, "=Tabasco")</f>
        <v>2181</v>
      </c>
      <c r="C6" s="11">
        <f>SUMIFS(Concentrado!D$2:D434,Concentrado!$A$2:$A434,"="&amp;$A6,Concentrado!$B$2:$B434, "=Tabasco")</f>
        <v>1580</v>
      </c>
      <c r="D6" s="11">
        <f>SUMIFS(Concentrado!E$2:E434,Concentrado!$A$2:$A434,"="&amp;$A6,Concentrado!$B$2:$B434, "=Tabasco")</f>
        <v>1363</v>
      </c>
      <c r="E6" s="11">
        <f>SUMIFS(Concentrado!F$2:F434,Concentrado!$A$2:$A434,"="&amp;$A6,Concentrado!$B$2:$B434, "=Tabasco")</f>
        <v>90</v>
      </c>
      <c r="F6" s="11">
        <f>SUMIFS(Concentrado!G$2:G434,Concentrado!$A$2:$A434,"="&amp;$A6,Concentrado!$B$2:$B434, "=Tabasco")</f>
        <v>37</v>
      </c>
    </row>
    <row r="7" spans="1:6" x14ac:dyDescent="0.25">
      <c r="A7" s="8">
        <v>2017</v>
      </c>
      <c r="B7" s="11">
        <f>SUMIFS(Concentrado!C$2:C435,Concentrado!$A$2:$A435,"="&amp;$A7,Concentrado!$B$2:$B435, "=Tabasco")</f>
        <v>2173</v>
      </c>
      <c r="C7" s="11">
        <f>SUMIFS(Concentrado!D$2:D435,Concentrado!$A$2:$A435,"="&amp;$A7,Concentrado!$B$2:$B435, "=Tabasco")</f>
        <v>1554</v>
      </c>
      <c r="D7" s="11">
        <f>SUMIFS(Concentrado!E$2:E435,Concentrado!$A$2:$A435,"="&amp;$A7,Concentrado!$B$2:$B435, "=Tabasco")</f>
        <v>1286</v>
      </c>
      <c r="E7" s="11">
        <f>SUMIFS(Concentrado!F$2:F435,Concentrado!$A$2:$A435,"="&amp;$A7,Concentrado!$B$2:$B435, "=Tabasco")</f>
        <v>91</v>
      </c>
      <c r="F7" s="11">
        <f>SUMIFS(Concentrado!G$2:G435,Concentrado!$A$2:$A435,"="&amp;$A7,Concentrado!$B$2:$B435, "=Tabasco")</f>
        <v>37</v>
      </c>
    </row>
    <row r="8" spans="1:6" x14ac:dyDescent="0.25">
      <c r="A8" s="8">
        <v>2018</v>
      </c>
      <c r="B8" s="11">
        <f>SUMIFS(Concentrado!C$2:C436,Concentrado!$A$2:$A436,"="&amp;$A8,Concentrado!$B$2:$B436, "=Tabasco")</f>
        <v>2224</v>
      </c>
      <c r="C8" s="11">
        <f>SUMIFS(Concentrado!D$2:D436,Concentrado!$A$2:$A436,"="&amp;$A8,Concentrado!$B$2:$B436, "=Tabasco")</f>
        <v>1583</v>
      </c>
      <c r="D8" s="11">
        <f>SUMIFS(Concentrado!E$2:E436,Concentrado!$A$2:$A436,"="&amp;$A8,Concentrado!$B$2:$B436, "=Tabasco")</f>
        <v>1252</v>
      </c>
      <c r="E8" s="11">
        <f>SUMIFS(Concentrado!F$2:F436,Concentrado!$A$2:$A436,"="&amp;$A8,Concentrado!$B$2:$B436, "=Tabasco")</f>
        <v>93</v>
      </c>
      <c r="F8" s="11">
        <f>SUMIFS(Concentrado!G$2:G436,Concentrado!$A$2:$A436,"="&amp;$A8,Concentrado!$B$2:$B436, "=Tabasco")</f>
        <v>38</v>
      </c>
    </row>
    <row r="9" spans="1:6" x14ac:dyDescent="0.25">
      <c r="A9" s="8">
        <v>2019</v>
      </c>
      <c r="B9" s="11">
        <f>SUMIFS(Concentrado!C$2:C437,Concentrado!$A$2:$A437,"="&amp;$A9,Concentrado!$B$2:$B437, "=Tabasco")</f>
        <v>2225</v>
      </c>
      <c r="C9" s="11">
        <f>SUMIFS(Concentrado!D$2:D437,Concentrado!$A$2:$A437,"="&amp;$A9,Concentrado!$B$2:$B437, "=Tabasco")</f>
        <v>1591</v>
      </c>
      <c r="D9" s="11">
        <f>SUMIFS(Concentrado!E$2:E437,Concentrado!$A$2:$A437,"="&amp;$A9,Concentrado!$B$2:$B437, "=Tabasco")</f>
        <v>1141</v>
      </c>
      <c r="E9" s="11">
        <f>SUMIFS(Concentrado!F$2:F437,Concentrado!$A$2:$A437,"="&amp;$A9,Concentrado!$B$2:$B437, "=Tabasco")</f>
        <v>96</v>
      </c>
      <c r="F9" s="11">
        <f>SUMIFS(Concentrado!G$2:G437,Concentrado!$A$2:$A437,"="&amp;$A9,Concentrado!$B$2:$B437, "=Tabasco")</f>
        <v>39</v>
      </c>
    </row>
    <row r="10" spans="1:6" x14ac:dyDescent="0.25">
      <c r="A10" s="8">
        <v>2020</v>
      </c>
      <c r="B10" s="11">
        <f>SUMIFS(Concentrado!C$2:C438,Concentrado!$A$2:$A438,"="&amp;$A10,Concentrado!$B$2:$B438, "=Tabasco")</f>
        <v>2285</v>
      </c>
      <c r="C10" s="11">
        <f>SUMIFS(Concentrado!D$2:D438,Concentrado!$A$2:$A438,"="&amp;$A10,Concentrado!$B$2:$B438, "=Tabasco")</f>
        <v>1722</v>
      </c>
      <c r="D10" s="11">
        <f>SUMIFS(Concentrado!E$2:E438,Concentrado!$A$2:$A438,"="&amp;$A10,Concentrado!$B$2:$B438, "=Tabasco")</f>
        <v>1147</v>
      </c>
      <c r="E10" s="11">
        <f>SUMIFS(Concentrado!F$2:F438,Concentrado!$A$2:$A438,"="&amp;$A10,Concentrado!$B$2:$B438, "=Tabasco")</f>
        <v>101</v>
      </c>
      <c r="F10" s="11">
        <f>SUMIFS(Concentrado!G$2:G438,Concentrado!$A$2:$A438,"="&amp;$A10,Concentrado!$B$2:$B438, "=Tabasco")</f>
        <v>38</v>
      </c>
    </row>
    <row r="11" spans="1:6" x14ac:dyDescent="0.25">
      <c r="A11" s="8">
        <v>2021</v>
      </c>
      <c r="B11" s="11">
        <f>SUMIFS(Concentrado!C$2:C439,Concentrado!$A$2:$A439,"="&amp;$A11,Concentrado!$B$2:$B439, "=Tabasco")</f>
        <v>2274</v>
      </c>
      <c r="C11" s="11">
        <f>SUMIFS(Concentrado!D$2:D439,Concentrado!$A$2:$A439,"="&amp;$A11,Concentrado!$B$2:$B439, "=Tabasco")</f>
        <v>1789</v>
      </c>
      <c r="D11" s="11">
        <f>SUMIFS(Concentrado!E$2:E439,Concentrado!$A$2:$A439,"="&amp;$A11,Concentrado!$B$2:$B439, "=Tabasco")</f>
        <v>1046</v>
      </c>
      <c r="E11" s="11">
        <f>SUMIFS(Concentrado!F$2:F439,Concentrado!$A$2:$A439,"="&amp;$A11,Concentrado!$B$2:$B439, "=Tabasco")</f>
        <v>99</v>
      </c>
      <c r="F11" s="11">
        <f>SUMIFS(Concentrado!G$2:G439,Concentrado!$A$2:$A439,"="&amp;$A11,Concentrado!$B$2:$B439, "=Tabasco")</f>
        <v>38</v>
      </c>
    </row>
    <row r="12" spans="1:6" x14ac:dyDescent="0.25">
      <c r="A12" s="8">
        <v>2022</v>
      </c>
      <c r="B12" s="11">
        <f>SUMIFS(Concentrado!C$2:C440,Concentrado!$A$2:$A440,"="&amp;$A12,Concentrado!$B$2:$B440, "=Tabasco")</f>
        <v>2501</v>
      </c>
      <c r="C12" s="11">
        <f>SUMIFS(Concentrado!D$2:D440,Concentrado!$A$2:$A440,"="&amp;$A12,Concentrado!$B$2:$B440, "=Tabasco")</f>
        <v>1874</v>
      </c>
      <c r="D12" s="11">
        <f>SUMIFS(Concentrado!E$2:E440,Concentrado!$A$2:$A440,"="&amp;$A12,Concentrado!$B$2:$B440, "=Tabasco")</f>
        <v>1008</v>
      </c>
      <c r="E12" s="11">
        <f>SUMIFS(Concentrado!F$2:F440,Concentrado!$A$2:$A440,"="&amp;$A12,Concentrado!$B$2:$B440, "=Tabasco")</f>
        <v>96</v>
      </c>
      <c r="F12" s="11">
        <f>SUMIFS(Concentrado!G$2:G440,Concentrado!$A$2:$A440,"="&amp;$A12,Concentrado!$B$2:$B440, "=Tabasco")</f>
        <v>39</v>
      </c>
    </row>
    <row r="13" spans="1:6" x14ac:dyDescent="0.25">
      <c r="A13" s="8">
        <v>2023</v>
      </c>
      <c r="B13" s="11">
        <f>SUMIFS(Concentrado!C$2:C441,Concentrado!$A$2:$A441,"="&amp;$A13,Concentrado!$B$2:$B441, "=Tabasco")</f>
        <v>2471</v>
      </c>
      <c r="C13" s="11">
        <f>SUMIFS(Concentrado!D$2:D441,Concentrado!$A$2:$A441,"="&amp;$A13,Concentrado!$B$2:$B441, "=Tabasco")</f>
        <v>1725</v>
      </c>
      <c r="D13" s="11">
        <f>SUMIFS(Concentrado!E$2:E441,Concentrado!$A$2:$A441,"="&amp;$A13,Concentrado!$B$2:$B441, "=Tabasco")</f>
        <v>1043</v>
      </c>
      <c r="E13" s="11">
        <f>SUMIFS(Concentrado!F$2:F441,Concentrado!$A$2:$A441,"="&amp;$A13,Concentrado!$B$2:$B441, "=Tabasco")</f>
        <v>90</v>
      </c>
      <c r="F13" s="11">
        <f>SUMIFS(Concentrado!G$2:G441,Concentrado!$A$2:$A441,"="&amp;$A13,Concentrado!$B$2:$B441, "=Tabasco")</f>
        <v>39</v>
      </c>
    </row>
    <row r="14" spans="1:6" x14ac:dyDescent="0.25">
      <c r="A14" s="8">
        <v>2024</v>
      </c>
      <c r="B14" s="11">
        <f>SUMIFS(Concentrado!C$2:C442,Concentrado!$A$2:$A442,"="&amp;$A14,Concentrado!$B$2:$B442, "=Tabasco")</f>
        <v>2560</v>
      </c>
      <c r="C14" s="11">
        <f>SUMIFS(Concentrado!D$2:D442,Concentrado!$A$2:$A442,"="&amp;$A14,Concentrado!$B$2:$B442, "=Tabasco")</f>
        <v>1818</v>
      </c>
      <c r="D14" s="11">
        <f>SUMIFS(Concentrado!E$2:E442,Concentrado!$A$2:$A442,"="&amp;$A14,Concentrado!$B$2:$B442, "=Tabasco")</f>
        <v>1080</v>
      </c>
      <c r="E14" s="11">
        <f>SUMIFS(Concentrado!F$2:F442,Concentrado!$A$2:$A442,"="&amp;$A14,Concentrado!$B$2:$B442, "=Tabasco")</f>
        <v>92</v>
      </c>
      <c r="F14" s="11">
        <f>SUMIFS(Concentrado!G$2:G442,Concentrado!$A$2:$A442,"="&amp;$A14,Concentrado!$B$2:$B442, "=Tabasco")</f>
        <v>39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zoomScale="112" zoomScaleNormal="112" workbookViewId="0">
      <selection activeCell="F14" sqref="F14"/>
    </sheetView>
  </sheetViews>
  <sheetFormatPr baseColWidth="10" defaultRowHeight="15" x14ac:dyDescent="0.25"/>
  <cols>
    <col min="1" max="1" width="12.140625" customWidth="1"/>
    <col min="2" max="2" width="13.28515625" bestFit="1" customWidth="1"/>
    <col min="3" max="3" width="12.42578125" bestFit="1" customWidth="1"/>
    <col min="4" max="4" width="19.140625" customWidth="1"/>
    <col min="5" max="5" width="12.28515625" bestFit="1" customWidth="1"/>
    <col min="6" max="6" width="12" bestFit="1" customWidth="1"/>
  </cols>
  <sheetData>
    <row r="1" spans="1:6" s="4" customFormat="1" ht="42.75" x14ac:dyDescent="0.2">
      <c r="A1" s="1" t="s">
        <v>0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</row>
    <row r="2" spans="1:6" x14ac:dyDescent="0.25">
      <c r="A2" s="8">
        <v>2012</v>
      </c>
      <c r="B2" s="11">
        <f>SUMIFS(Concentrado!C$2:C430,Concentrado!$A$2:$A430,"="&amp;$A2,Concentrado!$B$2:$B430, "=Tamaulipas")</f>
        <v>2149</v>
      </c>
      <c r="C2" s="11">
        <f>SUMIFS(Concentrado!D$2:D430,Concentrado!$A$2:$A430,"="&amp;$A2,Concentrado!$B$2:$B430, "=Tamaulipas")</f>
        <v>3020</v>
      </c>
      <c r="D2" s="11">
        <f>SUMIFS(Concentrado!E$2:E430,Concentrado!$A$2:$A430,"="&amp;$A2,Concentrado!$B$2:$B430, "=Tamaulipas")</f>
        <v>1761</v>
      </c>
      <c r="E2" s="11">
        <f>SUMIFS(Concentrado!F$2:F430,Concentrado!$A$2:$A430,"="&amp;$A2,Concentrado!$B$2:$B430, "=Tamaulipas")</f>
        <v>117</v>
      </c>
      <c r="F2" s="11">
        <f>SUMIFS(Concentrado!G$2:G430,Concentrado!$A$2:$A430,"="&amp;$A2,Concentrado!$B$2:$B430, "=Tamaulipas")</f>
        <v>62</v>
      </c>
    </row>
    <row r="3" spans="1:6" x14ac:dyDescent="0.25">
      <c r="A3" s="8">
        <v>2013</v>
      </c>
      <c r="B3" s="11">
        <f>SUMIFS(Concentrado!C$2:C431,Concentrado!$A$2:$A431,"="&amp;$A3,Concentrado!$B$2:$B431, "=Tamaulipas")</f>
        <v>2268</v>
      </c>
      <c r="C3" s="11">
        <f>SUMIFS(Concentrado!D$2:D431,Concentrado!$A$2:$A431,"="&amp;$A3,Concentrado!$B$2:$B431, "=Tamaulipas")</f>
        <v>3028</v>
      </c>
      <c r="D3" s="11">
        <f>SUMIFS(Concentrado!E$2:E431,Concentrado!$A$2:$A431,"="&amp;$A3,Concentrado!$B$2:$B431, "=Tamaulipas")</f>
        <v>1892</v>
      </c>
      <c r="E3" s="11">
        <f>SUMIFS(Concentrado!F$2:F431,Concentrado!$A$2:$A431,"="&amp;$A3,Concentrado!$B$2:$B431, "=Tamaulipas")</f>
        <v>134</v>
      </c>
      <c r="F3" s="11">
        <f>SUMIFS(Concentrado!G$2:G431,Concentrado!$A$2:$A431,"="&amp;$A3,Concentrado!$B$2:$B431, "=Tamaulipas")</f>
        <v>65</v>
      </c>
    </row>
    <row r="4" spans="1:6" x14ac:dyDescent="0.25">
      <c r="A4" s="8">
        <v>2014</v>
      </c>
      <c r="B4" s="11">
        <f>SUMIFS(Concentrado!C$2:C432,Concentrado!$A$2:$A432,"="&amp;$A4,Concentrado!$B$2:$B432, "=Tamaulipas")</f>
        <v>2335</v>
      </c>
      <c r="C4" s="11">
        <f>SUMIFS(Concentrado!D$2:D432,Concentrado!$A$2:$A432,"="&amp;$A4,Concentrado!$B$2:$B432, "=Tamaulipas")</f>
        <v>3051</v>
      </c>
      <c r="D4" s="11">
        <f>SUMIFS(Concentrado!E$2:E432,Concentrado!$A$2:$A432,"="&amp;$A4,Concentrado!$B$2:$B432, "=Tamaulipas")</f>
        <v>1855</v>
      </c>
      <c r="E4" s="11">
        <f>SUMIFS(Concentrado!F$2:F432,Concentrado!$A$2:$A432,"="&amp;$A4,Concentrado!$B$2:$B432, "=Tamaulipas")</f>
        <v>134</v>
      </c>
      <c r="F4" s="11">
        <f>SUMIFS(Concentrado!G$2:G432,Concentrado!$A$2:$A432,"="&amp;$A4,Concentrado!$B$2:$B432, "=Tamaulipas")</f>
        <v>65</v>
      </c>
    </row>
    <row r="5" spans="1:6" x14ac:dyDescent="0.25">
      <c r="A5" s="8">
        <v>2015</v>
      </c>
      <c r="B5" s="11">
        <f>SUMIFS(Concentrado!C$2:C433,Concentrado!$A$2:$A433,"="&amp;$A5,Concentrado!$B$2:$B433, "=Tamaulipas")</f>
        <v>2373</v>
      </c>
      <c r="C5" s="11">
        <f>SUMIFS(Concentrado!D$2:D433,Concentrado!$A$2:$A433,"="&amp;$A5,Concentrado!$B$2:$B433, "=Tamaulipas")</f>
        <v>3047</v>
      </c>
      <c r="D5" s="11">
        <f>SUMIFS(Concentrado!E$2:E433,Concentrado!$A$2:$A433,"="&amp;$A5,Concentrado!$B$2:$B433, "=Tamaulipas")</f>
        <v>1543</v>
      </c>
      <c r="E5" s="11">
        <f>SUMIFS(Concentrado!F$2:F433,Concentrado!$A$2:$A433,"="&amp;$A5,Concentrado!$B$2:$B433, "=Tamaulipas")</f>
        <v>134</v>
      </c>
      <c r="F5" s="11">
        <f>SUMIFS(Concentrado!G$2:G433,Concentrado!$A$2:$A433,"="&amp;$A5,Concentrado!$B$2:$B433, "=Tamaulipas")</f>
        <v>66</v>
      </c>
    </row>
    <row r="6" spans="1:6" x14ac:dyDescent="0.25">
      <c r="A6" s="8">
        <v>2016</v>
      </c>
      <c r="B6" s="11">
        <f>SUMIFS(Concentrado!C$2:C434,Concentrado!$A$2:$A434,"="&amp;$A6,Concentrado!$B$2:$B434, "=Tamaulipas")</f>
        <v>2292</v>
      </c>
      <c r="C6" s="11">
        <f>SUMIFS(Concentrado!D$2:D434,Concentrado!$A$2:$A434,"="&amp;$A6,Concentrado!$B$2:$B434, "=Tamaulipas")</f>
        <v>3046</v>
      </c>
      <c r="D6" s="11">
        <f>SUMIFS(Concentrado!E$2:E434,Concentrado!$A$2:$A434,"="&amp;$A6,Concentrado!$B$2:$B434, "=Tamaulipas")</f>
        <v>1612</v>
      </c>
      <c r="E6" s="11">
        <f>SUMIFS(Concentrado!F$2:F434,Concentrado!$A$2:$A434,"="&amp;$A6,Concentrado!$B$2:$B434, "=Tamaulipas")</f>
        <v>130</v>
      </c>
      <c r="F6" s="11">
        <f>SUMIFS(Concentrado!G$2:G434,Concentrado!$A$2:$A434,"="&amp;$A6,Concentrado!$B$2:$B434, "=Tamaulipas")</f>
        <v>66</v>
      </c>
    </row>
    <row r="7" spans="1:6" x14ac:dyDescent="0.25">
      <c r="A7" s="8">
        <v>2017</v>
      </c>
      <c r="B7" s="11">
        <f>SUMIFS(Concentrado!C$2:C435,Concentrado!$A$2:$A435,"="&amp;$A7,Concentrado!$B$2:$B435, "=Tamaulipas")</f>
        <v>2284</v>
      </c>
      <c r="C7" s="11">
        <f>SUMIFS(Concentrado!D$2:D435,Concentrado!$A$2:$A435,"="&amp;$A7,Concentrado!$B$2:$B435, "=Tamaulipas")</f>
        <v>2993</v>
      </c>
      <c r="D7" s="11">
        <f>SUMIFS(Concentrado!E$2:E435,Concentrado!$A$2:$A435,"="&amp;$A7,Concentrado!$B$2:$B435, "=Tamaulipas")</f>
        <v>1546</v>
      </c>
      <c r="E7" s="11">
        <f>SUMIFS(Concentrado!F$2:F435,Concentrado!$A$2:$A435,"="&amp;$A7,Concentrado!$B$2:$B435, "=Tamaulipas")</f>
        <v>138</v>
      </c>
      <c r="F7" s="11">
        <f>SUMIFS(Concentrado!G$2:G435,Concentrado!$A$2:$A435,"="&amp;$A7,Concentrado!$B$2:$B435, "=Tamaulipas")</f>
        <v>66</v>
      </c>
    </row>
    <row r="8" spans="1:6" x14ac:dyDescent="0.25">
      <c r="A8" s="8">
        <v>2018</v>
      </c>
      <c r="B8" s="11">
        <f>SUMIFS(Concentrado!C$2:C436,Concentrado!$A$2:$A436,"="&amp;$A8,Concentrado!$B$2:$B436, "=Tamaulipas")</f>
        <v>2322</v>
      </c>
      <c r="C8" s="11">
        <f>SUMIFS(Concentrado!D$2:D436,Concentrado!$A$2:$A436,"="&amp;$A8,Concentrado!$B$2:$B436, "=Tamaulipas")</f>
        <v>2977</v>
      </c>
      <c r="D8" s="11">
        <f>SUMIFS(Concentrado!E$2:E436,Concentrado!$A$2:$A436,"="&amp;$A8,Concentrado!$B$2:$B436, "=Tamaulipas")</f>
        <v>1499</v>
      </c>
      <c r="E8" s="11">
        <f>SUMIFS(Concentrado!F$2:F436,Concentrado!$A$2:$A436,"="&amp;$A8,Concentrado!$B$2:$B436, "=Tamaulipas")</f>
        <v>129</v>
      </c>
      <c r="F8" s="11">
        <f>SUMIFS(Concentrado!G$2:G436,Concentrado!$A$2:$A436,"="&amp;$A8,Concentrado!$B$2:$B436, "=Tamaulipas")</f>
        <v>62</v>
      </c>
    </row>
    <row r="9" spans="1:6" x14ac:dyDescent="0.25">
      <c r="A9" s="8">
        <v>2019</v>
      </c>
      <c r="B9" s="11">
        <f>SUMIFS(Concentrado!C$2:C437,Concentrado!$A$2:$A437,"="&amp;$A9,Concentrado!$B$2:$B437, "=Tamaulipas")</f>
        <v>2337</v>
      </c>
      <c r="C9" s="11">
        <f>SUMIFS(Concentrado!D$2:D437,Concentrado!$A$2:$A437,"="&amp;$A9,Concentrado!$B$2:$B437, "=Tamaulipas")</f>
        <v>2989</v>
      </c>
      <c r="D9" s="11">
        <f>SUMIFS(Concentrado!E$2:E437,Concentrado!$A$2:$A437,"="&amp;$A9,Concentrado!$B$2:$B437, "=Tamaulipas")</f>
        <v>1455</v>
      </c>
      <c r="E9" s="11">
        <f>SUMIFS(Concentrado!F$2:F437,Concentrado!$A$2:$A437,"="&amp;$A9,Concentrado!$B$2:$B437, "=Tamaulipas")</f>
        <v>138</v>
      </c>
      <c r="F9" s="11">
        <f>SUMIFS(Concentrado!G$2:G437,Concentrado!$A$2:$A437,"="&amp;$A9,Concentrado!$B$2:$B437, "=Tamaulipas")</f>
        <v>62</v>
      </c>
    </row>
    <row r="10" spans="1:6" x14ac:dyDescent="0.25">
      <c r="A10" s="8">
        <v>2020</v>
      </c>
      <c r="B10" s="11">
        <f>SUMIFS(Concentrado!C$2:C438,Concentrado!$A$2:$A438,"="&amp;$A10,Concentrado!$B$2:$B438, "=Tamaulipas")</f>
        <v>2362</v>
      </c>
      <c r="C10" s="11">
        <f>SUMIFS(Concentrado!D$2:D438,Concentrado!$A$2:$A438,"="&amp;$A10,Concentrado!$B$2:$B438, "=Tamaulipas")</f>
        <v>3473</v>
      </c>
      <c r="D10" s="11">
        <f>SUMIFS(Concentrado!E$2:E438,Concentrado!$A$2:$A438,"="&amp;$A10,Concentrado!$B$2:$B438, "=Tamaulipas")</f>
        <v>1555</v>
      </c>
      <c r="E10" s="11">
        <f>SUMIFS(Concentrado!F$2:F438,Concentrado!$A$2:$A438,"="&amp;$A10,Concentrado!$B$2:$B438, "=Tamaulipas")</f>
        <v>142</v>
      </c>
      <c r="F10" s="11">
        <f>SUMIFS(Concentrado!G$2:G438,Concentrado!$A$2:$A438,"="&amp;$A10,Concentrado!$B$2:$B438, "=Tamaulipas")</f>
        <v>63</v>
      </c>
    </row>
    <row r="11" spans="1:6" x14ac:dyDescent="0.25">
      <c r="A11" s="8">
        <v>2021</v>
      </c>
      <c r="B11" s="11">
        <f>SUMIFS(Concentrado!C$2:C439,Concentrado!$A$2:$A439,"="&amp;$A11,Concentrado!$B$2:$B439, "=Tamaulipas")</f>
        <v>2340</v>
      </c>
      <c r="C11" s="11">
        <f>SUMIFS(Concentrado!D$2:D439,Concentrado!$A$2:$A439,"="&amp;$A11,Concentrado!$B$2:$B439, "=Tamaulipas")</f>
        <v>3448</v>
      </c>
      <c r="D11" s="11">
        <f>SUMIFS(Concentrado!E$2:E439,Concentrado!$A$2:$A439,"="&amp;$A11,Concentrado!$B$2:$B439, "=Tamaulipas")</f>
        <v>1520</v>
      </c>
      <c r="E11" s="11">
        <f>SUMIFS(Concentrado!F$2:F439,Concentrado!$A$2:$A439,"="&amp;$A11,Concentrado!$B$2:$B439, "=Tamaulipas")</f>
        <v>143</v>
      </c>
      <c r="F11" s="11">
        <f>SUMIFS(Concentrado!G$2:G439,Concentrado!$A$2:$A439,"="&amp;$A11,Concentrado!$B$2:$B439, "=Tamaulipas")</f>
        <v>61</v>
      </c>
    </row>
    <row r="12" spans="1:6" x14ac:dyDescent="0.25">
      <c r="A12" s="8">
        <v>2022</v>
      </c>
      <c r="B12" s="11">
        <f>SUMIFS(Concentrado!C$2:C440,Concentrado!$A$2:$A440,"="&amp;$A12,Concentrado!$B$2:$B440, "=Tamaulipas")</f>
        <v>2305</v>
      </c>
      <c r="C12" s="11">
        <f>SUMIFS(Concentrado!D$2:D440,Concentrado!$A$2:$A440,"="&amp;$A12,Concentrado!$B$2:$B440, "=Tamaulipas")</f>
        <v>3430</v>
      </c>
      <c r="D12" s="11">
        <f>SUMIFS(Concentrado!E$2:E440,Concentrado!$A$2:$A440,"="&amp;$A12,Concentrado!$B$2:$B440, "=Tamaulipas")</f>
        <v>1567</v>
      </c>
      <c r="E12" s="11">
        <f>SUMIFS(Concentrado!F$2:F440,Concentrado!$A$2:$A440,"="&amp;$A12,Concentrado!$B$2:$B440, "=Tamaulipas")</f>
        <v>135</v>
      </c>
      <c r="F12" s="11">
        <f>SUMIFS(Concentrado!G$2:G440,Concentrado!$A$2:$A440,"="&amp;$A12,Concentrado!$B$2:$B440, "=Tamaulipas")</f>
        <v>60</v>
      </c>
    </row>
    <row r="13" spans="1:6" x14ac:dyDescent="0.25">
      <c r="A13" s="8">
        <v>2023</v>
      </c>
      <c r="B13" s="11">
        <f>SUMIFS(Concentrado!C$2:C441,Concentrado!$A$2:$A441,"="&amp;$A13,Concentrado!$B$2:$B441, "=Tamaulipas")</f>
        <v>2309</v>
      </c>
      <c r="C13" s="11">
        <f>SUMIFS(Concentrado!D$2:D441,Concentrado!$A$2:$A441,"="&amp;$A13,Concentrado!$B$2:$B441, "=Tamaulipas")</f>
        <v>3151</v>
      </c>
      <c r="D13" s="11">
        <f>SUMIFS(Concentrado!E$2:E441,Concentrado!$A$2:$A441,"="&amp;$A13,Concentrado!$B$2:$B441, "=Tamaulipas")</f>
        <v>1600</v>
      </c>
      <c r="E13" s="11">
        <f>SUMIFS(Concentrado!F$2:F441,Concentrado!$A$2:$A441,"="&amp;$A13,Concentrado!$B$2:$B441, "=Tamaulipas")</f>
        <v>147</v>
      </c>
      <c r="F13" s="11">
        <f>SUMIFS(Concentrado!G$2:G441,Concentrado!$A$2:$A441,"="&amp;$A13,Concentrado!$B$2:$B441, "=Tamaulipas")</f>
        <v>62</v>
      </c>
    </row>
    <row r="14" spans="1:6" x14ac:dyDescent="0.25">
      <c r="A14" s="8">
        <v>2024</v>
      </c>
      <c r="B14" s="11">
        <f>SUMIFS(Concentrado!C$2:C442,Concentrado!$A$2:$A442,"="&amp;$A14,Concentrado!$B$2:$B442, "=Tamaulipas")</f>
        <v>2266</v>
      </c>
      <c r="C14" s="11">
        <f>SUMIFS(Concentrado!D$2:D442,Concentrado!$A$2:$A442,"="&amp;$A14,Concentrado!$B$2:$B442, "=Tamaulipas")</f>
        <v>3400</v>
      </c>
      <c r="D14" s="11">
        <f>SUMIFS(Concentrado!E$2:E442,Concentrado!$A$2:$A442,"="&amp;$A14,Concentrado!$B$2:$B442, "=Tamaulipas")</f>
        <v>1667</v>
      </c>
      <c r="E14" s="11">
        <f>SUMIFS(Concentrado!F$2:F442,Concentrado!$A$2:$A442,"="&amp;$A14,Concentrado!$B$2:$B442, "=Tamaulipas")</f>
        <v>150</v>
      </c>
      <c r="F14" s="11">
        <f>SUMIFS(Concentrado!G$2:G442,Concentrado!$A$2:$A442,"="&amp;$A14,Concentrado!$B$2:$B442, "=Tamaulipas")</f>
        <v>61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zoomScale="112" zoomScaleNormal="112" workbookViewId="0">
      <selection activeCell="F14" sqref="F14"/>
    </sheetView>
  </sheetViews>
  <sheetFormatPr baseColWidth="10" defaultRowHeight="15" x14ac:dyDescent="0.25"/>
  <cols>
    <col min="1" max="1" width="12.140625" customWidth="1"/>
    <col min="2" max="2" width="13.28515625" bestFit="1" customWidth="1"/>
    <col min="3" max="3" width="12.42578125" bestFit="1" customWidth="1"/>
    <col min="4" max="4" width="19.140625" customWidth="1"/>
    <col min="5" max="5" width="12.28515625" bestFit="1" customWidth="1"/>
    <col min="6" max="6" width="12" bestFit="1" customWidth="1"/>
  </cols>
  <sheetData>
    <row r="1" spans="1:6" s="4" customFormat="1" ht="42.75" x14ac:dyDescent="0.2">
      <c r="A1" s="1" t="s">
        <v>0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</row>
    <row r="2" spans="1:6" x14ac:dyDescent="0.25">
      <c r="A2" s="8">
        <v>2012</v>
      </c>
      <c r="B2" s="11">
        <f>SUMIFS(Concentrado!C$2:C430,Concentrado!$A$2:$A430,"="&amp;$A2,Concentrado!$B$2:$B430, "=Tlaxcala")</f>
        <v>722</v>
      </c>
      <c r="C2" s="11">
        <f>SUMIFS(Concentrado!D$2:D430,Concentrado!$A$2:$A430,"="&amp;$A2,Concentrado!$B$2:$B430, "=Tlaxcala")</f>
        <v>515</v>
      </c>
      <c r="D2" s="11">
        <f>SUMIFS(Concentrado!E$2:E430,Concentrado!$A$2:$A430,"="&amp;$A2,Concentrado!$B$2:$B430, "=Tlaxcala")</f>
        <v>706</v>
      </c>
      <c r="E2" s="11">
        <f>SUMIFS(Concentrado!F$2:F430,Concentrado!$A$2:$A430,"="&amp;$A2,Concentrado!$B$2:$B430, "=Tlaxcala")</f>
        <v>32</v>
      </c>
      <c r="F2" s="11">
        <f>SUMIFS(Concentrado!G$2:G430,Concentrado!$A$2:$A430,"="&amp;$A2,Concentrado!$B$2:$B430, "=Tlaxcala")</f>
        <v>27</v>
      </c>
    </row>
    <row r="3" spans="1:6" x14ac:dyDescent="0.25">
      <c r="A3" s="8">
        <v>2013</v>
      </c>
      <c r="B3" s="11">
        <f>SUMIFS(Concentrado!C$2:C431,Concentrado!$A$2:$A431,"="&amp;$A3,Concentrado!$B$2:$B431, "=Tlaxcala")</f>
        <v>764</v>
      </c>
      <c r="C3" s="11">
        <f>SUMIFS(Concentrado!D$2:D431,Concentrado!$A$2:$A431,"="&amp;$A3,Concentrado!$B$2:$B431, "=Tlaxcala")</f>
        <v>681</v>
      </c>
      <c r="D3" s="11">
        <f>SUMIFS(Concentrado!E$2:E431,Concentrado!$A$2:$A431,"="&amp;$A3,Concentrado!$B$2:$B431, "=Tlaxcala")</f>
        <v>715</v>
      </c>
      <c r="E3" s="11">
        <f>SUMIFS(Concentrado!F$2:F431,Concentrado!$A$2:$A431,"="&amp;$A3,Concentrado!$B$2:$B431, "=Tlaxcala")</f>
        <v>35</v>
      </c>
      <c r="F3" s="11">
        <f>SUMIFS(Concentrado!G$2:G431,Concentrado!$A$2:$A431,"="&amp;$A3,Concentrado!$B$2:$B431, "=Tlaxcala")</f>
        <v>27</v>
      </c>
    </row>
    <row r="4" spans="1:6" x14ac:dyDescent="0.25">
      <c r="A4" s="8">
        <v>2014</v>
      </c>
      <c r="B4" s="11">
        <f>SUMIFS(Concentrado!C$2:C432,Concentrado!$A$2:$A432,"="&amp;$A4,Concentrado!$B$2:$B432, "=Tlaxcala")</f>
        <v>765</v>
      </c>
      <c r="C4" s="11">
        <f>SUMIFS(Concentrado!D$2:D432,Concentrado!$A$2:$A432,"="&amp;$A4,Concentrado!$B$2:$B432, "=Tlaxcala")</f>
        <v>681</v>
      </c>
      <c r="D4" s="11">
        <f>SUMIFS(Concentrado!E$2:E432,Concentrado!$A$2:$A432,"="&amp;$A4,Concentrado!$B$2:$B432, "=Tlaxcala")</f>
        <v>721</v>
      </c>
      <c r="E4" s="11">
        <f>SUMIFS(Concentrado!F$2:F432,Concentrado!$A$2:$A432,"="&amp;$A4,Concentrado!$B$2:$B432, "=Tlaxcala")</f>
        <v>35</v>
      </c>
      <c r="F4" s="11">
        <f>SUMIFS(Concentrado!G$2:G432,Concentrado!$A$2:$A432,"="&amp;$A4,Concentrado!$B$2:$B432, "=Tlaxcala")</f>
        <v>27</v>
      </c>
    </row>
    <row r="5" spans="1:6" x14ac:dyDescent="0.25">
      <c r="A5" s="8">
        <v>2015</v>
      </c>
      <c r="B5" s="11">
        <f>SUMIFS(Concentrado!C$2:C433,Concentrado!$A$2:$A433,"="&amp;$A5,Concentrado!$B$2:$B433, "=Tlaxcala")</f>
        <v>797</v>
      </c>
      <c r="C5" s="11">
        <f>SUMIFS(Concentrado!D$2:D433,Concentrado!$A$2:$A433,"="&amp;$A5,Concentrado!$B$2:$B433, "=Tlaxcala")</f>
        <v>687</v>
      </c>
      <c r="D5" s="11">
        <f>SUMIFS(Concentrado!E$2:E433,Concentrado!$A$2:$A433,"="&amp;$A5,Concentrado!$B$2:$B433, "=Tlaxcala")</f>
        <v>699</v>
      </c>
      <c r="E5" s="11">
        <f>SUMIFS(Concentrado!F$2:F433,Concentrado!$A$2:$A433,"="&amp;$A5,Concentrado!$B$2:$B433, "=Tlaxcala")</f>
        <v>36</v>
      </c>
      <c r="F5" s="11">
        <f>SUMIFS(Concentrado!G$2:G433,Concentrado!$A$2:$A433,"="&amp;$A5,Concentrado!$B$2:$B433, "=Tlaxcala")</f>
        <v>27</v>
      </c>
    </row>
    <row r="6" spans="1:6" x14ac:dyDescent="0.25">
      <c r="A6" s="8">
        <v>2016</v>
      </c>
      <c r="B6" s="11">
        <f>SUMIFS(Concentrado!C$2:C434,Concentrado!$A$2:$A434,"="&amp;$A6,Concentrado!$B$2:$B434, "=Tlaxcala")</f>
        <v>804</v>
      </c>
      <c r="C6" s="11">
        <f>SUMIFS(Concentrado!D$2:D434,Concentrado!$A$2:$A434,"="&amp;$A6,Concentrado!$B$2:$B434, "=Tlaxcala")</f>
        <v>687</v>
      </c>
      <c r="D6" s="11">
        <f>SUMIFS(Concentrado!E$2:E434,Concentrado!$A$2:$A434,"="&amp;$A6,Concentrado!$B$2:$B434, "=Tlaxcala")</f>
        <v>700</v>
      </c>
      <c r="E6" s="11">
        <f>SUMIFS(Concentrado!F$2:F434,Concentrado!$A$2:$A434,"="&amp;$A6,Concentrado!$B$2:$B434, "=Tlaxcala")</f>
        <v>37</v>
      </c>
      <c r="F6" s="11">
        <f>SUMIFS(Concentrado!G$2:G434,Concentrado!$A$2:$A434,"="&amp;$A6,Concentrado!$B$2:$B434, "=Tlaxcala")</f>
        <v>72</v>
      </c>
    </row>
    <row r="7" spans="1:6" x14ac:dyDescent="0.25">
      <c r="A7" s="8">
        <v>2017</v>
      </c>
      <c r="B7" s="11">
        <f>SUMIFS(Concentrado!C$2:C435,Concentrado!$A$2:$A435,"="&amp;$A7,Concentrado!$B$2:$B435, "=Tlaxcala")</f>
        <v>828</v>
      </c>
      <c r="C7" s="11">
        <f>SUMIFS(Concentrado!D$2:D435,Concentrado!$A$2:$A435,"="&amp;$A7,Concentrado!$B$2:$B435, "=Tlaxcala")</f>
        <v>684</v>
      </c>
      <c r="D7" s="11">
        <f>SUMIFS(Concentrado!E$2:E435,Concentrado!$A$2:$A435,"="&amp;$A7,Concentrado!$B$2:$B435, "=Tlaxcala")</f>
        <v>716</v>
      </c>
      <c r="E7" s="11">
        <f>SUMIFS(Concentrado!F$2:F435,Concentrado!$A$2:$A435,"="&amp;$A7,Concentrado!$B$2:$B435, "=Tlaxcala")</f>
        <v>36</v>
      </c>
      <c r="F7" s="11">
        <f>SUMIFS(Concentrado!G$2:G435,Concentrado!$A$2:$A435,"="&amp;$A7,Concentrado!$B$2:$B435, "=Tlaxcala")</f>
        <v>70</v>
      </c>
    </row>
    <row r="8" spans="1:6" x14ac:dyDescent="0.25">
      <c r="A8" s="8">
        <v>2018</v>
      </c>
      <c r="B8" s="11">
        <f>SUMIFS(Concentrado!C$2:C436,Concentrado!$A$2:$A436,"="&amp;$A8,Concentrado!$B$2:$B436, "=Tlaxcala")</f>
        <v>844</v>
      </c>
      <c r="C8" s="11">
        <f>SUMIFS(Concentrado!D$2:D436,Concentrado!$A$2:$A436,"="&amp;$A8,Concentrado!$B$2:$B436, "=Tlaxcala")</f>
        <v>714</v>
      </c>
      <c r="D8" s="11">
        <f>SUMIFS(Concentrado!E$2:E436,Concentrado!$A$2:$A436,"="&amp;$A8,Concentrado!$B$2:$B436, "=Tlaxcala")</f>
        <v>741</v>
      </c>
      <c r="E8" s="11">
        <f>SUMIFS(Concentrado!F$2:F436,Concentrado!$A$2:$A436,"="&amp;$A8,Concentrado!$B$2:$B436, "=Tlaxcala")</f>
        <v>37</v>
      </c>
      <c r="F8" s="11">
        <f>SUMIFS(Concentrado!G$2:G436,Concentrado!$A$2:$A436,"="&amp;$A8,Concentrado!$B$2:$B436, "=Tlaxcala")</f>
        <v>18</v>
      </c>
    </row>
    <row r="9" spans="1:6" x14ac:dyDescent="0.25">
      <c r="A9" s="8">
        <v>2019</v>
      </c>
      <c r="B9" s="11">
        <f>SUMIFS(Concentrado!C$2:C437,Concentrado!$A$2:$A437,"="&amp;$A9,Concentrado!$B$2:$B437, "=Tlaxcala")</f>
        <v>868</v>
      </c>
      <c r="C9" s="11">
        <f>SUMIFS(Concentrado!D$2:D437,Concentrado!$A$2:$A437,"="&amp;$A9,Concentrado!$B$2:$B437, "=Tlaxcala")</f>
        <v>702</v>
      </c>
      <c r="D9" s="11">
        <f>SUMIFS(Concentrado!E$2:E437,Concentrado!$A$2:$A437,"="&amp;$A9,Concentrado!$B$2:$B437, "=Tlaxcala")</f>
        <v>739</v>
      </c>
      <c r="E9" s="11">
        <f>SUMIFS(Concentrado!F$2:F437,Concentrado!$A$2:$A437,"="&amp;$A9,Concentrado!$B$2:$B437, "=Tlaxcala")</f>
        <v>36</v>
      </c>
      <c r="F9" s="11">
        <f>SUMIFS(Concentrado!G$2:G437,Concentrado!$A$2:$A437,"="&amp;$A9,Concentrado!$B$2:$B437, "=Tlaxcala")</f>
        <v>18</v>
      </c>
    </row>
    <row r="10" spans="1:6" x14ac:dyDescent="0.25">
      <c r="A10" s="8">
        <v>2020</v>
      </c>
      <c r="B10" s="11">
        <f>SUMIFS(Concentrado!C$2:C438,Concentrado!$A$2:$A438,"="&amp;$A10,Concentrado!$B$2:$B438, "=Tlaxcala")</f>
        <v>883</v>
      </c>
      <c r="C10" s="11">
        <f>SUMIFS(Concentrado!D$2:D438,Concentrado!$A$2:$A438,"="&amp;$A10,Concentrado!$B$2:$B438, "=Tlaxcala")</f>
        <v>708</v>
      </c>
      <c r="D10" s="11">
        <f>SUMIFS(Concentrado!E$2:E438,Concentrado!$A$2:$A438,"="&amp;$A10,Concentrado!$B$2:$B438, "=Tlaxcala")</f>
        <v>773</v>
      </c>
      <c r="E10" s="11">
        <f>SUMIFS(Concentrado!F$2:F438,Concentrado!$A$2:$A438,"="&amp;$A10,Concentrado!$B$2:$B438, "=Tlaxcala")</f>
        <v>36</v>
      </c>
      <c r="F10" s="11">
        <f>SUMIFS(Concentrado!G$2:G438,Concentrado!$A$2:$A438,"="&amp;$A10,Concentrado!$B$2:$B438, "=Tlaxcala")</f>
        <v>18</v>
      </c>
    </row>
    <row r="11" spans="1:6" x14ac:dyDescent="0.25">
      <c r="A11" s="8">
        <v>2021</v>
      </c>
      <c r="B11" s="11">
        <f>SUMIFS(Concentrado!C$2:C439,Concentrado!$A$2:$A439,"="&amp;$A11,Concentrado!$B$2:$B439, "=Tlaxcala")</f>
        <v>890</v>
      </c>
      <c r="C11" s="11">
        <f>SUMIFS(Concentrado!D$2:D439,Concentrado!$A$2:$A439,"="&amp;$A11,Concentrado!$B$2:$B439, "=Tlaxcala")</f>
        <v>714</v>
      </c>
      <c r="D11" s="11">
        <f>SUMIFS(Concentrado!E$2:E439,Concentrado!$A$2:$A439,"="&amp;$A11,Concentrado!$B$2:$B439, "=Tlaxcala")</f>
        <v>777</v>
      </c>
      <c r="E11" s="11">
        <f>SUMIFS(Concentrado!F$2:F439,Concentrado!$A$2:$A439,"="&amp;$A11,Concentrado!$B$2:$B439, "=Tlaxcala")</f>
        <v>36</v>
      </c>
      <c r="F11" s="11">
        <f>SUMIFS(Concentrado!G$2:G439,Concentrado!$A$2:$A439,"="&amp;$A11,Concentrado!$B$2:$B439, "=Tlaxcala")</f>
        <v>18</v>
      </c>
    </row>
    <row r="12" spans="1:6" x14ac:dyDescent="0.25">
      <c r="A12" s="8">
        <v>2022</v>
      </c>
      <c r="B12" s="11">
        <f>SUMIFS(Concentrado!C$2:C440,Concentrado!$A$2:$A440,"="&amp;$A12,Concentrado!$B$2:$B440, "=Tlaxcala")</f>
        <v>934</v>
      </c>
      <c r="C12" s="11">
        <f>SUMIFS(Concentrado!D$2:D440,Concentrado!$A$2:$A440,"="&amp;$A12,Concentrado!$B$2:$B440, "=Tlaxcala")</f>
        <v>803</v>
      </c>
      <c r="D12" s="11">
        <f>SUMIFS(Concentrado!E$2:E440,Concentrado!$A$2:$A440,"="&amp;$A12,Concentrado!$B$2:$B440, "=Tlaxcala")</f>
        <v>826</v>
      </c>
      <c r="E12" s="11">
        <f>SUMIFS(Concentrado!F$2:F440,Concentrado!$A$2:$A440,"="&amp;$A12,Concentrado!$B$2:$B440, "=Tlaxcala")</f>
        <v>44</v>
      </c>
      <c r="F12" s="11">
        <f>SUMIFS(Concentrado!G$2:G440,Concentrado!$A$2:$A440,"="&amp;$A12,Concentrado!$B$2:$B440, "=Tlaxcala")</f>
        <v>20</v>
      </c>
    </row>
    <row r="13" spans="1:6" x14ac:dyDescent="0.25">
      <c r="A13" s="8">
        <v>2023</v>
      </c>
      <c r="B13" s="11">
        <f>SUMIFS(Concentrado!C$2:C441,Concentrado!$A$2:$A441,"="&amp;$A13,Concentrado!$B$2:$B441, "=Tlaxcala")</f>
        <v>941</v>
      </c>
      <c r="C13" s="11">
        <f>SUMIFS(Concentrado!D$2:D441,Concentrado!$A$2:$A441,"="&amp;$A13,Concentrado!$B$2:$B441, "=Tlaxcala")</f>
        <v>734</v>
      </c>
      <c r="D13" s="11">
        <f>SUMIFS(Concentrado!E$2:E441,Concentrado!$A$2:$A441,"="&amp;$A13,Concentrado!$B$2:$B441, "=Tlaxcala")</f>
        <v>800</v>
      </c>
      <c r="E13" s="11">
        <f>SUMIFS(Concentrado!F$2:F441,Concentrado!$A$2:$A441,"="&amp;$A13,Concentrado!$B$2:$B441, "=Tlaxcala")</f>
        <v>40</v>
      </c>
      <c r="F13" s="11">
        <f>SUMIFS(Concentrado!G$2:G441,Concentrado!$A$2:$A441,"="&amp;$A13,Concentrado!$B$2:$B441, "=Tlaxcala")</f>
        <v>19</v>
      </c>
    </row>
    <row r="14" spans="1:6" x14ac:dyDescent="0.25">
      <c r="A14" s="8">
        <v>2024</v>
      </c>
      <c r="B14" s="11">
        <f>SUMIFS(Concentrado!C$2:C442,Concentrado!$A$2:$A442,"="&amp;$A14,Concentrado!$B$2:$B442, "=Tlaxcala")</f>
        <v>907</v>
      </c>
      <c r="C14" s="11">
        <f>SUMIFS(Concentrado!D$2:D442,Concentrado!$A$2:$A442,"="&amp;$A14,Concentrado!$B$2:$B442, "=Tlaxcala")</f>
        <v>738</v>
      </c>
      <c r="D14" s="11">
        <f>SUMIFS(Concentrado!E$2:E442,Concentrado!$A$2:$A442,"="&amp;$A14,Concentrado!$B$2:$B442, "=Tlaxcala")</f>
        <v>798</v>
      </c>
      <c r="E14" s="11">
        <f>SUMIFS(Concentrado!F$2:F442,Concentrado!$A$2:$A442,"="&amp;$A14,Concentrado!$B$2:$B442, "=Tlaxcala")</f>
        <v>40</v>
      </c>
      <c r="F14" s="11">
        <f>SUMIFS(Concentrado!G$2:G442,Concentrado!$A$2:$A442,"="&amp;$A14,Concentrado!$B$2:$B442, "=Tlaxcala")</f>
        <v>19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zoomScale="112" zoomScaleNormal="112" workbookViewId="0">
      <selection activeCell="F14" sqref="F14"/>
    </sheetView>
  </sheetViews>
  <sheetFormatPr baseColWidth="10" defaultRowHeight="15" x14ac:dyDescent="0.25"/>
  <cols>
    <col min="1" max="1" width="12.140625" customWidth="1"/>
    <col min="2" max="2" width="13.28515625" bestFit="1" customWidth="1"/>
    <col min="3" max="3" width="12.42578125" bestFit="1" customWidth="1"/>
    <col min="4" max="4" width="19.140625" customWidth="1"/>
    <col min="5" max="5" width="12.28515625" bestFit="1" customWidth="1"/>
    <col min="6" max="6" width="12" bestFit="1" customWidth="1"/>
  </cols>
  <sheetData>
    <row r="1" spans="1:6" s="4" customFormat="1" ht="42.75" x14ac:dyDescent="0.2">
      <c r="A1" s="1" t="s">
        <v>0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</row>
    <row r="2" spans="1:6" x14ac:dyDescent="0.25">
      <c r="A2" s="8">
        <v>2012</v>
      </c>
      <c r="B2" s="11">
        <f>SUMIFS(Concentrado!C$2:C430,Concentrado!$A$2:$A430,"="&amp;$A2,Concentrado!$B$2:$B430, "=Veracruz")</f>
        <v>4470</v>
      </c>
      <c r="C2" s="11">
        <f>SUMIFS(Concentrado!D$2:D430,Concentrado!$A$2:$A430,"="&amp;$A2,Concentrado!$B$2:$B430, "=Veracruz")</f>
        <v>4990</v>
      </c>
      <c r="D2" s="11">
        <f>SUMIFS(Concentrado!E$2:E430,Concentrado!$A$2:$A430,"="&amp;$A2,Concentrado!$B$2:$B430, "=Veracruz")</f>
        <v>3642</v>
      </c>
      <c r="E2" s="11">
        <f>SUMIFS(Concentrado!F$2:F430,Concentrado!$A$2:$A430,"="&amp;$A2,Concentrado!$B$2:$B430, "=Veracruz")</f>
        <v>236</v>
      </c>
      <c r="F2" s="11">
        <f>SUMIFS(Concentrado!G$2:G430,Concentrado!$A$2:$A430,"="&amp;$A2,Concentrado!$B$2:$B430, "=Veracruz")</f>
        <v>139</v>
      </c>
    </row>
    <row r="3" spans="1:6" x14ac:dyDescent="0.25">
      <c r="A3" s="8">
        <v>2013</v>
      </c>
      <c r="B3" s="11">
        <f>SUMIFS(Concentrado!C$2:C431,Concentrado!$A$2:$A431,"="&amp;$A3,Concentrado!$B$2:$B431, "=Veracruz")</f>
        <v>4653</v>
      </c>
      <c r="C3" s="11">
        <f>SUMIFS(Concentrado!D$2:D431,Concentrado!$A$2:$A431,"="&amp;$A3,Concentrado!$B$2:$B431, "=Veracruz")</f>
        <v>5042</v>
      </c>
      <c r="D3" s="11">
        <f>SUMIFS(Concentrado!E$2:E431,Concentrado!$A$2:$A431,"="&amp;$A3,Concentrado!$B$2:$B431, "=Veracruz")</f>
        <v>3769</v>
      </c>
      <c r="E3" s="11">
        <f>SUMIFS(Concentrado!F$2:F431,Concentrado!$A$2:$A431,"="&amp;$A3,Concentrado!$B$2:$B431, "=Veracruz")</f>
        <v>250</v>
      </c>
      <c r="F3" s="11">
        <f>SUMIFS(Concentrado!G$2:G431,Concentrado!$A$2:$A431,"="&amp;$A3,Concentrado!$B$2:$B431, "=Veracruz")</f>
        <v>139</v>
      </c>
    </row>
    <row r="4" spans="1:6" x14ac:dyDescent="0.25">
      <c r="A4" s="8">
        <v>2014</v>
      </c>
      <c r="B4" s="11">
        <f>SUMIFS(Concentrado!C$2:C432,Concentrado!$A$2:$A432,"="&amp;$A4,Concentrado!$B$2:$B432, "=Veracruz")</f>
        <v>4777</v>
      </c>
      <c r="C4" s="11">
        <f>SUMIFS(Concentrado!D$2:D432,Concentrado!$A$2:$A432,"="&amp;$A4,Concentrado!$B$2:$B432, "=Veracruz")</f>
        <v>5089</v>
      </c>
      <c r="D4" s="11">
        <f>SUMIFS(Concentrado!E$2:E432,Concentrado!$A$2:$A432,"="&amp;$A4,Concentrado!$B$2:$B432, "=Veracruz")</f>
        <v>3692</v>
      </c>
      <c r="E4" s="11">
        <f>SUMIFS(Concentrado!F$2:F432,Concentrado!$A$2:$A432,"="&amp;$A4,Concentrado!$B$2:$B432, "=Veracruz")</f>
        <v>256</v>
      </c>
      <c r="F4" s="11">
        <f>SUMIFS(Concentrado!G$2:G432,Concentrado!$A$2:$A432,"="&amp;$A4,Concentrado!$B$2:$B432, "=Veracruz")</f>
        <v>138</v>
      </c>
    </row>
    <row r="5" spans="1:6" x14ac:dyDescent="0.25">
      <c r="A5" s="8">
        <v>2015</v>
      </c>
      <c r="B5" s="11">
        <f>SUMIFS(Concentrado!C$2:C433,Concentrado!$A$2:$A433,"="&amp;$A5,Concentrado!$B$2:$B433, "=Veracruz")</f>
        <v>4891</v>
      </c>
      <c r="C5" s="11">
        <f>SUMIFS(Concentrado!D$2:D433,Concentrado!$A$2:$A433,"="&amp;$A5,Concentrado!$B$2:$B433, "=Veracruz")</f>
        <v>5064</v>
      </c>
      <c r="D5" s="11">
        <f>SUMIFS(Concentrado!E$2:E433,Concentrado!$A$2:$A433,"="&amp;$A5,Concentrado!$B$2:$B433, "=Veracruz")</f>
        <v>2607</v>
      </c>
      <c r="E5" s="11">
        <f>SUMIFS(Concentrado!F$2:F433,Concentrado!$A$2:$A433,"="&amp;$A5,Concentrado!$B$2:$B433, "=Veracruz")</f>
        <v>263</v>
      </c>
      <c r="F5" s="11">
        <f>SUMIFS(Concentrado!G$2:G433,Concentrado!$A$2:$A433,"="&amp;$A5,Concentrado!$B$2:$B433, "=Veracruz")</f>
        <v>145</v>
      </c>
    </row>
    <row r="6" spans="1:6" x14ac:dyDescent="0.25">
      <c r="A6" s="8">
        <v>2016</v>
      </c>
      <c r="B6" s="11">
        <f>SUMIFS(Concentrado!C$2:C434,Concentrado!$A$2:$A434,"="&amp;$A6,Concentrado!$B$2:$B434, "=Veracruz")</f>
        <v>4878</v>
      </c>
      <c r="C6" s="11">
        <f>SUMIFS(Concentrado!D$2:D434,Concentrado!$A$2:$A434,"="&amp;$A6,Concentrado!$B$2:$B434, "=Veracruz")</f>
        <v>5148</v>
      </c>
      <c r="D6" s="11">
        <f>SUMIFS(Concentrado!E$2:E434,Concentrado!$A$2:$A434,"="&amp;$A6,Concentrado!$B$2:$B434, "=Veracruz")</f>
        <v>2558</v>
      </c>
      <c r="E6" s="11">
        <f>SUMIFS(Concentrado!F$2:F434,Concentrado!$A$2:$A434,"="&amp;$A6,Concentrado!$B$2:$B434, "=Veracruz")</f>
        <v>258</v>
      </c>
      <c r="F6" s="11">
        <f>SUMIFS(Concentrado!G$2:G434,Concentrado!$A$2:$A434,"="&amp;$A6,Concentrado!$B$2:$B434, "=Veracruz")</f>
        <v>165</v>
      </c>
    </row>
    <row r="7" spans="1:6" x14ac:dyDescent="0.25">
      <c r="A7" s="8">
        <v>2017</v>
      </c>
      <c r="B7" s="11">
        <f>SUMIFS(Concentrado!C$2:C435,Concentrado!$A$2:$A435,"="&amp;$A7,Concentrado!$B$2:$B435, "=Veracruz")</f>
        <v>4827</v>
      </c>
      <c r="C7" s="11">
        <f>SUMIFS(Concentrado!D$2:D435,Concentrado!$A$2:$A435,"="&amp;$A7,Concentrado!$B$2:$B435, "=Veracruz")</f>
        <v>5043</v>
      </c>
      <c r="D7" s="11">
        <f>SUMIFS(Concentrado!E$2:E435,Concentrado!$A$2:$A435,"="&amp;$A7,Concentrado!$B$2:$B435, "=Veracruz")</f>
        <v>2360</v>
      </c>
      <c r="E7" s="11">
        <f>SUMIFS(Concentrado!F$2:F435,Concentrado!$A$2:$A435,"="&amp;$A7,Concentrado!$B$2:$B435, "=Veracruz")</f>
        <v>263</v>
      </c>
      <c r="F7" s="11">
        <f>SUMIFS(Concentrado!G$2:G435,Concentrado!$A$2:$A435,"="&amp;$A7,Concentrado!$B$2:$B435, "=Veracruz")</f>
        <v>152</v>
      </c>
    </row>
    <row r="8" spans="1:6" x14ac:dyDescent="0.25">
      <c r="A8" s="8">
        <v>2018</v>
      </c>
      <c r="B8" s="11">
        <f>SUMIFS(Concentrado!C$2:C436,Concentrado!$A$2:$A436,"="&amp;$A8,Concentrado!$B$2:$B436, "=Veracruz")</f>
        <v>4805</v>
      </c>
      <c r="C8" s="11">
        <f>SUMIFS(Concentrado!D$2:D436,Concentrado!$A$2:$A436,"="&amp;$A8,Concentrado!$B$2:$B436, "=Veracruz")</f>
        <v>4999</v>
      </c>
      <c r="D8" s="11">
        <f>SUMIFS(Concentrado!E$2:E436,Concentrado!$A$2:$A436,"="&amp;$A8,Concentrado!$B$2:$B436, "=Veracruz")</f>
        <v>2352</v>
      </c>
      <c r="E8" s="11">
        <f>SUMIFS(Concentrado!F$2:F436,Concentrado!$A$2:$A436,"="&amp;$A8,Concentrado!$B$2:$B436, "=Veracruz")</f>
        <v>262</v>
      </c>
      <c r="F8" s="11">
        <f>SUMIFS(Concentrado!G$2:G436,Concentrado!$A$2:$A436,"="&amp;$A8,Concentrado!$B$2:$B436, "=Veracruz")</f>
        <v>130</v>
      </c>
    </row>
    <row r="9" spans="1:6" x14ac:dyDescent="0.25">
      <c r="A9" s="8">
        <v>2019</v>
      </c>
      <c r="B9" s="11">
        <f>SUMIFS(Concentrado!C$2:C437,Concentrado!$A$2:$A437,"="&amp;$A9,Concentrado!$B$2:$B437, "=Veracruz")</f>
        <v>4743</v>
      </c>
      <c r="C9" s="11">
        <f>SUMIFS(Concentrado!D$2:D437,Concentrado!$A$2:$A437,"="&amp;$A9,Concentrado!$B$2:$B437, "=Veracruz")</f>
        <v>5144</v>
      </c>
      <c r="D9" s="11">
        <f>SUMIFS(Concentrado!E$2:E437,Concentrado!$A$2:$A437,"="&amp;$A9,Concentrado!$B$2:$B437, "=Veracruz")</f>
        <v>2452</v>
      </c>
      <c r="E9" s="11">
        <f>SUMIFS(Concentrado!F$2:F437,Concentrado!$A$2:$A437,"="&amp;$A9,Concentrado!$B$2:$B437, "=Veracruz")</f>
        <v>260</v>
      </c>
      <c r="F9" s="11">
        <f>SUMIFS(Concentrado!G$2:G437,Concentrado!$A$2:$A437,"="&amp;$A9,Concentrado!$B$2:$B437, "=Veracruz")</f>
        <v>154</v>
      </c>
    </row>
    <row r="10" spans="1:6" x14ac:dyDescent="0.25">
      <c r="A10" s="8">
        <v>2020</v>
      </c>
      <c r="B10" s="11">
        <f>SUMIFS(Concentrado!C$2:C438,Concentrado!$A$2:$A438,"="&amp;$A10,Concentrado!$B$2:$B438, "=Veracruz")</f>
        <v>4945</v>
      </c>
      <c r="C10" s="11">
        <f>SUMIFS(Concentrado!D$2:D438,Concentrado!$A$2:$A438,"="&amp;$A10,Concentrado!$B$2:$B438, "=Veracruz")</f>
        <v>5169</v>
      </c>
      <c r="D10" s="11">
        <f>SUMIFS(Concentrado!E$2:E438,Concentrado!$A$2:$A438,"="&amp;$A10,Concentrado!$B$2:$B438, "=Veracruz")</f>
        <v>2574</v>
      </c>
      <c r="E10" s="11">
        <f>SUMIFS(Concentrado!F$2:F438,Concentrado!$A$2:$A438,"="&amp;$A10,Concentrado!$B$2:$B438, "=Veracruz")</f>
        <v>260</v>
      </c>
      <c r="F10" s="11">
        <f>SUMIFS(Concentrado!G$2:G438,Concentrado!$A$2:$A438,"="&amp;$A10,Concentrado!$B$2:$B438, "=Veracruz")</f>
        <v>133</v>
      </c>
    </row>
    <row r="11" spans="1:6" x14ac:dyDescent="0.25">
      <c r="A11" s="8">
        <v>2021</v>
      </c>
      <c r="B11" s="11">
        <f>SUMIFS(Concentrado!C$2:C439,Concentrado!$A$2:$A439,"="&amp;$A11,Concentrado!$B$2:$B439, "=Veracruz")</f>
        <v>4890</v>
      </c>
      <c r="C11" s="11">
        <f>SUMIFS(Concentrado!D$2:D439,Concentrado!$A$2:$A439,"="&amp;$A11,Concentrado!$B$2:$B439, "=Veracruz")</f>
        <v>5323</v>
      </c>
      <c r="D11" s="11">
        <f>SUMIFS(Concentrado!E$2:E439,Concentrado!$A$2:$A439,"="&amp;$A11,Concentrado!$B$2:$B439, "=Veracruz")</f>
        <v>2508</v>
      </c>
      <c r="E11" s="11">
        <f>SUMIFS(Concentrado!F$2:F439,Concentrado!$A$2:$A439,"="&amp;$A11,Concentrado!$B$2:$B439, "=Veracruz")</f>
        <v>265</v>
      </c>
      <c r="F11" s="11">
        <f>SUMIFS(Concentrado!G$2:G439,Concentrado!$A$2:$A439,"="&amp;$A11,Concentrado!$B$2:$B439, "=Veracruz")</f>
        <v>134</v>
      </c>
    </row>
    <row r="12" spans="1:6" x14ac:dyDescent="0.25">
      <c r="A12" s="8">
        <v>2022</v>
      </c>
      <c r="B12" s="11">
        <f>SUMIFS(Concentrado!C$2:C440,Concentrado!$A$2:$A440,"="&amp;$A12,Concentrado!$B$2:$B440, "=Veracruz")</f>
        <v>5580</v>
      </c>
      <c r="C12" s="11">
        <f>SUMIFS(Concentrado!D$2:D440,Concentrado!$A$2:$A440,"="&amp;$A12,Concentrado!$B$2:$B440, "=Veracruz")</f>
        <v>5145</v>
      </c>
      <c r="D12" s="11">
        <f>SUMIFS(Concentrado!E$2:E440,Concentrado!$A$2:$A440,"="&amp;$A12,Concentrado!$B$2:$B440, "=Veracruz")</f>
        <v>2462</v>
      </c>
      <c r="E12" s="11">
        <f>SUMIFS(Concentrado!F$2:F440,Concentrado!$A$2:$A440,"="&amp;$A12,Concentrado!$B$2:$B440, "=Veracruz")</f>
        <v>271</v>
      </c>
      <c r="F12" s="11">
        <f>SUMIFS(Concentrado!G$2:G440,Concentrado!$A$2:$A440,"="&amp;$A12,Concentrado!$B$2:$B440, "=Veracruz")</f>
        <v>128</v>
      </c>
    </row>
    <row r="13" spans="1:6" x14ac:dyDescent="0.25">
      <c r="A13" s="8">
        <v>2023</v>
      </c>
      <c r="B13" s="11">
        <f>SUMIFS(Concentrado!C$2:C441,Concentrado!$A$2:$A441,"="&amp;$A13,Concentrado!$B$2:$B441, "=Veracruz")</f>
        <v>5450</v>
      </c>
      <c r="C13" s="11">
        <f>SUMIFS(Concentrado!D$2:D441,Concentrado!$A$2:$A441,"="&amp;$A13,Concentrado!$B$2:$B441, "=Veracruz")</f>
        <v>5237</v>
      </c>
      <c r="D13" s="11">
        <f>SUMIFS(Concentrado!E$2:E441,Concentrado!$A$2:$A441,"="&amp;$A13,Concentrado!$B$2:$B441, "=Veracruz")</f>
        <v>2600</v>
      </c>
      <c r="E13" s="11">
        <f>SUMIFS(Concentrado!F$2:F441,Concentrado!$A$2:$A441,"="&amp;$A13,Concentrado!$B$2:$B441, "=Veracruz")</f>
        <v>272</v>
      </c>
      <c r="F13" s="11">
        <f>SUMIFS(Concentrado!G$2:G441,Concentrado!$A$2:$A441,"="&amp;$A13,Concentrado!$B$2:$B441, "=Veracruz")</f>
        <v>133</v>
      </c>
    </row>
    <row r="14" spans="1:6" x14ac:dyDescent="0.25">
      <c r="A14" s="8">
        <v>2024</v>
      </c>
      <c r="B14" s="11">
        <f>SUMIFS(Concentrado!C$2:C442,Concentrado!$A$2:$A442,"="&amp;$A14,Concentrado!$B$2:$B442, "=Veracruz")</f>
        <v>5456</v>
      </c>
      <c r="C14" s="11">
        <f>SUMIFS(Concentrado!D$2:D442,Concentrado!$A$2:$A442,"="&amp;$A14,Concentrado!$B$2:$B442, "=Veracruz")</f>
        <v>5391</v>
      </c>
      <c r="D14" s="11">
        <f>SUMIFS(Concentrado!E$2:E442,Concentrado!$A$2:$A442,"="&amp;$A14,Concentrado!$B$2:$B442, "=Veracruz")</f>
        <v>2722</v>
      </c>
      <c r="E14" s="11">
        <f>SUMIFS(Concentrado!F$2:F442,Concentrado!$A$2:$A442,"="&amp;$A14,Concentrado!$B$2:$B442, "=Veracruz")</f>
        <v>262</v>
      </c>
      <c r="F14" s="11">
        <f>SUMIFS(Concentrado!G$2:G442,Concentrado!$A$2:$A442,"="&amp;$A14,Concentrado!$B$2:$B442, "=Veracruz")</f>
        <v>136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zoomScale="112" zoomScaleNormal="112" workbookViewId="0">
      <selection activeCell="F14" sqref="F14"/>
    </sheetView>
  </sheetViews>
  <sheetFormatPr baseColWidth="10" defaultRowHeight="15" x14ac:dyDescent="0.25"/>
  <cols>
    <col min="1" max="1" width="12.140625" customWidth="1"/>
    <col min="2" max="2" width="13.28515625" bestFit="1" customWidth="1"/>
    <col min="3" max="3" width="12.42578125" bestFit="1" customWidth="1"/>
    <col min="4" max="4" width="19.140625" customWidth="1"/>
    <col min="5" max="5" width="12.28515625" bestFit="1" customWidth="1"/>
    <col min="6" max="6" width="12" bestFit="1" customWidth="1"/>
  </cols>
  <sheetData>
    <row r="1" spans="1:6" s="4" customFormat="1" ht="42.75" x14ac:dyDescent="0.2">
      <c r="A1" s="1" t="s">
        <v>0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</row>
    <row r="2" spans="1:6" x14ac:dyDescent="0.25">
      <c r="A2" s="8">
        <v>2012</v>
      </c>
      <c r="B2" s="11">
        <f>SUMIFS(Concentrado!C$2:C430,Concentrado!$A$2:$A430,"="&amp;$A2,Concentrado!$B$2:$B430, "=Yucatán")</f>
        <v>1104</v>
      </c>
      <c r="C2" s="11">
        <f>SUMIFS(Concentrado!D$2:D430,Concentrado!$A$2:$A430,"="&amp;$A2,Concentrado!$B$2:$B430, "=Yucatán")</f>
        <v>1837</v>
      </c>
      <c r="D2" s="11">
        <f>SUMIFS(Concentrado!E$2:E430,Concentrado!$A$2:$A430,"="&amp;$A2,Concentrado!$B$2:$B430, "=Yucatán")</f>
        <v>898</v>
      </c>
      <c r="E2" s="11">
        <f>SUMIFS(Concentrado!F$2:F430,Concentrado!$A$2:$A430,"="&amp;$A2,Concentrado!$B$2:$B430, "=Yucatán")</f>
        <v>55</v>
      </c>
      <c r="F2" s="11">
        <f>SUMIFS(Concentrado!G$2:G430,Concentrado!$A$2:$A430,"="&amp;$A2,Concentrado!$B$2:$B430, "=Yucatán")</f>
        <v>19</v>
      </c>
    </row>
    <row r="3" spans="1:6" x14ac:dyDescent="0.25">
      <c r="A3" s="8">
        <v>2013</v>
      </c>
      <c r="B3" s="11">
        <f>SUMIFS(Concentrado!C$2:C431,Concentrado!$A$2:$A431,"="&amp;$A3,Concentrado!$B$2:$B431, "=Yucatán")</f>
        <v>1161</v>
      </c>
      <c r="C3" s="11">
        <f>SUMIFS(Concentrado!D$2:D431,Concentrado!$A$2:$A431,"="&amp;$A3,Concentrado!$B$2:$B431, "=Yucatán")</f>
        <v>1805</v>
      </c>
      <c r="D3" s="11">
        <f>SUMIFS(Concentrado!E$2:E431,Concentrado!$A$2:$A431,"="&amp;$A3,Concentrado!$B$2:$B431, "=Yucatán")</f>
        <v>987</v>
      </c>
      <c r="E3" s="11">
        <f>SUMIFS(Concentrado!F$2:F431,Concentrado!$A$2:$A431,"="&amp;$A3,Concentrado!$B$2:$B431, "=Yucatán")</f>
        <v>66</v>
      </c>
      <c r="F3" s="11">
        <f>SUMIFS(Concentrado!G$2:G431,Concentrado!$A$2:$A431,"="&amp;$A3,Concentrado!$B$2:$B431, "=Yucatán")</f>
        <v>21</v>
      </c>
    </row>
    <row r="4" spans="1:6" x14ac:dyDescent="0.25">
      <c r="A4" s="8">
        <v>2014</v>
      </c>
      <c r="B4" s="11">
        <f>SUMIFS(Concentrado!C$2:C432,Concentrado!$A$2:$A432,"="&amp;$A4,Concentrado!$B$2:$B432, "=Yucatán")</f>
        <v>1252</v>
      </c>
      <c r="C4" s="11">
        <f>SUMIFS(Concentrado!D$2:D432,Concentrado!$A$2:$A432,"="&amp;$A4,Concentrado!$B$2:$B432, "=Yucatán")</f>
        <v>1771</v>
      </c>
      <c r="D4" s="11">
        <f>SUMIFS(Concentrado!E$2:E432,Concentrado!$A$2:$A432,"="&amp;$A4,Concentrado!$B$2:$B432, "=Yucatán")</f>
        <v>1014</v>
      </c>
      <c r="E4" s="11">
        <f>SUMIFS(Concentrado!F$2:F432,Concentrado!$A$2:$A432,"="&amp;$A4,Concentrado!$B$2:$B432, "=Yucatán")</f>
        <v>66</v>
      </c>
      <c r="F4" s="11">
        <f>SUMIFS(Concentrado!G$2:G432,Concentrado!$A$2:$A432,"="&amp;$A4,Concentrado!$B$2:$B432, "=Yucatán")</f>
        <v>21</v>
      </c>
    </row>
    <row r="5" spans="1:6" x14ac:dyDescent="0.25">
      <c r="A5" s="8">
        <v>2015</v>
      </c>
      <c r="B5" s="11">
        <f>SUMIFS(Concentrado!C$2:C433,Concentrado!$A$2:$A433,"="&amp;$A5,Concentrado!$B$2:$B433, "=Yucatán")</f>
        <v>1277</v>
      </c>
      <c r="C5" s="11">
        <f>SUMIFS(Concentrado!D$2:D433,Concentrado!$A$2:$A433,"="&amp;$A5,Concentrado!$B$2:$B433, "=Yucatán")</f>
        <v>1861</v>
      </c>
      <c r="D5" s="11">
        <f>SUMIFS(Concentrado!E$2:E433,Concentrado!$A$2:$A433,"="&amp;$A5,Concentrado!$B$2:$B433, "=Yucatán")</f>
        <v>1074</v>
      </c>
      <c r="E5" s="11">
        <f>SUMIFS(Concentrado!F$2:F433,Concentrado!$A$2:$A433,"="&amp;$A5,Concentrado!$B$2:$B433, "=Yucatán")</f>
        <v>73</v>
      </c>
      <c r="F5" s="11">
        <f>SUMIFS(Concentrado!G$2:G433,Concentrado!$A$2:$A433,"="&amp;$A5,Concentrado!$B$2:$B433, "=Yucatán")</f>
        <v>23</v>
      </c>
    </row>
    <row r="6" spans="1:6" x14ac:dyDescent="0.25">
      <c r="A6" s="8">
        <v>2016</v>
      </c>
      <c r="B6" s="11">
        <f>SUMIFS(Concentrado!C$2:C434,Concentrado!$A$2:$A434,"="&amp;$A6,Concentrado!$B$2:$B434, "=Yucatán")</f>
        <v>1352</v>
      </c>
      <c r="C6" s="11">
        <f>SUMIFS(Concentrado!D$2:D434,Concentrado!$A$2:$A434,"="&amp;$A6,Concentrado!$B$2:$B434, "=Yucatán")</f>
        <v>1752</v>
      </c>
      <c r="D6" s="11">
        <f>SUMIFS(Concentrado!E$2:E434,Concentrado!$A$2:$A434,"="&amp;$A6,Concentrado!$B$2:$B434, "=Yucatán")</f>
        <v>987</v>
      </c>
      <c r="E6" s="11">
        <f>SUMIFS(Concentrado!F$2:F434,Concentrado!$A$2:$A434,"="&amp;$A6,Concentrado!$B$2:$B434, "=Yucatán")</f>
        <v>78</v>
      </c>
      <c r="F6" s="11">
        <f>SUMIFS(Concentrado!G$2:G434,Concentrado!$A$2:$A434,"="&amp;$A6,Concentrado!$B$2:$B434, "=Yucatán")</f>
        <v>23</v>
      </c>
    </row>
    <row r="7" spans="1:6" x14ac:dyDescent="0.25">
      <c r="A7" s="8">
        <v>2017</v>
      </c>
      <c r="B7" s="11">
        <f>SUMIFS(Concentrado!C$2:C435,Concentrado!$A$2:$A435,"="&amp;$A7,Concentrado!$B$2:$B435, "=Yucatán")</f>
        <v>1371</v>
      </c>
      <c r="C7" s="11">
        <f>SUMIFS(Concentrado!D$2:D435,Concentrado!$A$2:$A435,"="&amp;$A7,Concentrado!$B$2:$B435, "=Yucatán")</f>
        <v>1782</v>
      </c>
      <c r="D7" s="11">
        <f>SUMIFS(Concentrado!E$2:E435,Concentrado!$A$2:$A435,"="&amp;$A7,Concentrado!$B$2:$B435, "=Yucatán")</f>
        <v>986</v>
      </c>
      <c r="E7" s="11">
        <f>SUMIFS(Concentrado!F$2:F435,Concentrado!$A$2:$A435,"="&amp;$A7,Concentrado!$B$2:$B435, "=Yucatán")</f>
        <v>75</v>
      </c>
      <c r="F7" s="11">
        <f>SUMIFS(Concentrado!G$2:G435,Concentrado!$A$2:$A435,"="&amp;$A7,Concentrado!$B$2:$B435, "=Yucatán")</f>
        <v>24</v>
      </c>
    </row>
    <row r="8" spans="1:6" x14ac:dyDescent="0.25">
      <c r="A8" s="8">
        <v>2018</v>
      </c>
      <c r="B8" s="11">
        <f>SUMIFS(Concentrado!C$2:C436,Concentrado!$A$2:$A436,"="&amp;$A8,Concentrado!$B$2:$B436, "=Yucatán")</f>
        <v>1364</v>
      </c>
      <c r="C8" s="11">
        <f>SUMIFS(Concentrado!D$2:D436,Concentrado!$A$2:$A436,"="&amp;$A8,Concentrado!$B$2:$B436, "=Yucatán")</f>
        <v>1800</v>
      </c>
      <c r="D8" s="11">
        <f>SUMIFS(Concentrado!E$2:E436,Concentrado!$A$2:$A436,"="&amp;$A8,Concentrado!$B$2:$B436, "=Yucatán")</f>
        <v>996</v>
      </c>
      <c r="E8" s="11">
        <f>SUMIFS(Concentrado!F$2:F436,Concentrado!$A$2:$A436,"="&amp;$A8,Concentrado!$B$2:$B436, "=Yucatán")</f>
        <v>74</v>
      </c>
      <c r="F8" s="11">
        <f>SUMIFS(Concentrado!G$2:G436,Concentrado!$A$2:$A436,"="&amp;$A8,Concentrado!$B$2:$B436, "=Yucatán")</f>
        <v>25</v>
      </c>
    </row>
    <row r="9" spans="1:6" x14ac:dyDescent="0.25">
      <c r="A9" s="8">
        <v>2019</v>
      </c>
      <c r="B9" s="11">
        <f>SUMIFS(Concentrado!C$2:C437,Concentrado!$A$2:$A437,"="&amp;$A9,Concentrado!$B$2:$B437, "=Yucatán")</f>
        <v>1416</v>
      </c>
      <c r="C9" s="11">
        <f>SUMIFS(Concentrado!D$2:D437,Concentrado!$A$2:$A437,"="&amp;$A9,Concentrado!$B$2:$B437, "=Yucatán")</f>
        <v>1943</v>
      </c>
      <c r="D9" s="11">
        <f>SUMIFS(Concentrado!E$2:E437,Concentrado!$A$2:$A437,"="&amp;$A9,Concentrado!$B$2:$B437, "=Yucatán")</f>
        <v>1052</v>
      </c>
      <c r="E9" s="11">
        <f>SUMIFS(Concentrado!F$2:F437,Concentrado!$A$2:$A437,"="&amp;$A9,Concentrado!$B$2:$B437, "=Yucatán")</f>
        <v>79</v>
      </c>
      <c r="F9" s="11">
        <f>SUMIFS(Concentrado!G$2:G437,Concentrado!$A$2:$A437,"="&amp;$A9,Concentrado!$B$2:$B437, "=Yucatán")</f>
        <v>29</v>
      </c>
    </row>
    <row r="10" spans="1:6" x14ac:dyDescent="0.25">
      <c r="A10" s="8">
        <v>2020</v>
      </c>
      <c r="B10" s="11">
        <f>SUMIFS(Concentrado!C$2:C438,Concentrado!$A$2:$A438,"="&amp;$A10,Concentrado!$B$2:$B438, "=Yucatán")</f>
        <v>1443</v>
      </c>
      <c r="C10" s="11">
        <f>SUMIFS(Concentrado!D$2:D438,Concentrado!$A$2:$A438,"="&amp;$A10,Concentrado!$B$2:$B438, "=Yucatán")</f>
        <v>2216</v>
      </c>
      <c r="D10" s="11">
        <f>SUMIFS(Concentrado!E$2:E438,Concentrado!$A$2:$A438,"="&amp;$A10,Concentrado!$B$2:$B438, "=Yucatán")</f>
        <v>1266</v>
      </c>
      <c r="E10" s="11">
        <f>SUMIFS(Concentrado!F$2:F438,Concentrado!$A$2:$A438,"="&amp;$A10,Concentrado!$B$2:$B438, "=Yucatán")</f>
        <v>75</v>
      </c>
      <c r="F10" s="11">
        <f>SUMIFS(Concentrado!G$2:G438,Concentrado!$A$2:$A438,"="&amp;$A10,Concentrado!$B$2:$B438, "=Yucatán")</f>
        <v>28</v>
      </c>
    </row>
    <row r="11" spans="1:6" x14ac:dyDescent="0.25">
      <c r="A11" s="8">
        <v>2021</v>
      </c>
      <c r="B11" s="11">
        <f>SUMIFS(Concentrado!C$2:C439,Concentrado!$A$2:$A439,"="&amp;$A11,Concentrado!$B$2:$B439, "=Yucatán")</f>
        <v>1421</v>
      </c>
      <c r="C11" s="11">
        <f>SUMIFS(Concentrado!D$2:D439,Concentrado!$A$2:$A439,"="&amp;$A11,Concentrado!$B$2:$B439, "=Yucatán")</f>
        <v>2263</v>
      </c>
      <c r="D11" s="11">
        <f>SUMIFS(Concentrado!E$2:E439,Concentrado!$A$2:$A439,"="&amp;$A11,Concentrado!$B$2:$B439, "=Yucatán")</f>
        <v>1250</v>
      </c>
      <c r="E11" s="11">
        <f>SUMIFS(Concentrado!F$2:F439,Concentrado!$A$2:$A439,"="&amp;$A11,Concentrado!$B$2:$B439, "=Yucatán")</f>
        <v>76</v>
      </c>
      <c r="F11" s="11">
        <f>SUMIFS(Concentrado!G$2:G439,Concentrado!$A$2:$A439,"="&amp;$A11,Concentrado!$B$2:$B439, "=Yucatán")</f>
        <v>28</v>
      </c>
    </row>
    <row r="12" spans="1:6" x14ac:dyDescent="0.25">
      <c r="A12" s="8">
        <v>2022</v>
      </c>
      <c r="B12" s="11">
        <f>SUMIFS(Concentrado!C$2:C440,Concentrado!$A$2:$A440,"="&amp;$A12,Concentrado!$B$2:$B440, "=Yucatán")</f>
        <v>1429</v>
      </c>
      <c r="C12" s="11">
        <f>SUMIFS(Concentrado!D$2:D440,Concentrado!$A$2:$A440,"="&amp;$A12,Concentrado!$B$2:$B440, "=Yucatán")</f>
        <v>2006</v>
      </c>
      <c r="D12" s="11">
        <f>SUMIFS(Concentrado!E$2:E440,Concentrado!$A$2:$A440,"="&amp;$A12,Concentrado!$B$2:$B440, "=Yucatán")</f>
        <v>939</v>
      </c>
      <c r="E12" s="11">
        <f>SUMIFS(Concentrado!F$2:F440,Concentrado!$A$2:$A440,"="&amp;$A12,Concentrado!$B$2:$B440, "=Yucatán")</f>
        <v>74</v>
      </c>
      <c r="F12" s="11">
        <f>SUMIFS(Concentrado!G$2:G440,Concentrado!$A$2:$A440,"="&amp;$A12,Concentrado!$B$2:$B440, "=Yucatán")</f>
        <v>28</v>
      </c>
    </row>
    <row r="13" spans="1:6" x14ac:dyDescent="0.25">
      <c r="A13" s="8">
        <v>2023</v>
      </c>
      <c r="B13" s="11">
        <f>SUMIFS(Concentrado!C$2:C441,Concentrado!$A$2:$A441,"="&amp;$A13,Concentrado!$B$2:$B441, "=Yucatán")</f>
        <v>1464</v>
      </c>
      <c r="C13" s="11">
        <f>SUMIFS(Concentrado!D$2:D441,Concentrado!$A$2:$A441,"="&amp;$A13,Concentrado!$B$2:$B441, "=Yucatán")</f>
        <v>1921</v>
      </c>
      <c r="D13" s="11">
        <f>SUMIFS(Concentrado!E$2:E441,Concentrado!$A$2:$A441,"="&amp;$A13,Concentrado!$B$2:$B441, "=Yucatán")</f>
        <v>915</v>
      </c>
      <c r="E13" s="11">
        <f>SUMIFS(Concentrado!F$2:F441,Concentrado!$A$2:$A441,"="&amp;$A13,Concentrado!$B$2:$B441, "=Yucatán")</f>
        <v>73</v>
      </c>
      <c r="F13" s="11">
        <f>SUMIFS(Concentrado!G$2:G441,Concentrado!$A$2:$A441,"="&amp;$A13,Concentrado!$B$2:$B441, "=Yucatán")</f>
        <v>28</v>
      </c>
    </row>
    <row r="14" spans="1:6" x14ac:dyDescent="0.25">
      <c r="A14" s="8">
        <v>2024</v>
      </c>
      <c r="B14" s="11">
        <f>SUMIFS(Concentrado!C$2:C442,Concentrado!$A$2:$A442,"="&amp;$A14,Concentrado!$B$2:$B442, "=Yucatán")</f>
        <v>1544</v>
      </c>
      <c r="C14" s="11">
        <f>SUMIFS(Concentrado!D$2:D442,Concentrado!$A$2:$A442,"="&amp;$A14,Concentrado!$B$2:$B442, "=Yucatán")</f>
        <v>2007</v>
      </c>
      <c r="D14" s="11">
        <f>SUMIFS(Concentrado!E$2:E442,Concentrado!$A$2:$A442,"="&amp;$A14,Concentrado!$B$2:$B442, "=Yucatán")</f>
        <v>975</v>
      </c>
      <c r="E14" s="11">
        <f>SUMIFS(Concentrado!F$2:F442,Concentrado!$A$2:$A442,"="&amp;$A14,Concentrado!$B$2:$B442, "=Yucatán")</f>
        <v>77</v>
      </c>
      <c r="F14" s="11">
        <f>SUMIFS(Concentrado!G$2:G442,Concentrado!$A$2:$A442,"="&amp;$A14,Concentrado!$B$2:$B442, "=Yucatán")</f>
        <v>27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zoomScale="112" zoomScaleNormal="112" workbookViewId="0">
      <selection activeCell="F14" sqref="F14"/>
    </sheetView>
  </sheetViews>
  <sheetFormatPr baseColWidth="10" defaultRowHeight="15" x14ac:dyDescent="0.25"/>
  <cols>
    <col min="1" max="1" width="12.140625" customWidth="1"/>
    <col min="2" max="2" width="13.28515625" bestFit="1" customWidth="1"/>
    <col min="3" max="3" width="12.42578125" bestFit="1" customWidth="1"/>
    <col min="4" max="4" width="19.140625" customWidth="1"/>
    <col min="5" max="5" width="12.28515625" bestFit="1" customWidth="1"/>
    <col min="6" max="6" width="12" bestFit="1" customWidth="1"/>
  </cols>
  <sheetData>
    <row r="1" spans="1:6" s="4" customFormat="1" ht="42.75" x14ac:dyDescent="0.2">
      <c r="A1" s="1" t="s">
        <v>0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</row>
    <row r="2" spans="1:6" x14ac:dyDescent="0.25">
      <c r="A2" s="8">
        <v>2012</v>
      </c>
      <c r="B2" s="11">
        <f>SUMIFS(Concentrado!C$2:C430,Concentrado!$A$2:$A430,"="&amp;$A2,Concentrado!$B$2:$B430, "=Zacatecas")</f>
        <v>1179</v>
      </c>
      <c r="C2" s="11">
        <f>SUMIFS(Concentrado!D$2:D430,Concentrado!$A$2:$A430,"="&amp;$A2,Concentrado!$B$2:$B430, "=Zacatecas")</f>
        <v>1007</v>
      </c>
      <c r="D2" s="11">
        <f>SUMIFS(Concentrado!E$2:E430,Concentrado!$A$2:$A430,"="&amp;$A2,Concentrado!$B$2:$B430, "=Zacatecas")</f>
        <v>851</v>
      </c>
      <c r="E2" s="11">
        <f>SUMIFS(Concentrado!F$2:F430,Concentrado!$A$2:$A430,"="&amp;$A2,Concentrado!$B$2:$B430, "=Zacatecas")</f>
        <v>53</v>
      </c>
      <c r="F2" s="11">
        <f>SUMIFS(Concentrado!G$2:G430,Concentrado!$A$2:$A430,"="&amp;$A2,Concentrado!$B$2:$B430, "=Zacatecas")</f>
        <v>85</v>
      </c>
    </row>
    <row r="3" spans="1:6" x14ac:dyDescent="0.25">
      <c r="A3" s="8">
        <v>2013</v>
      </c>
      <c r="B3" s="11">
        <f>SUMIFS(Concentrado!C$2:C431,Concentrado!$A$2:$A431,"="&amp;$A3,Concentrado!$B$2:$B431, "=Zacatecas")</f>
        <v>1147</v>
      </c>
      <c r="C3" s="11">
        <f>SUMIFS(Concentrado!D$2:D431,Concentrado!$A$2:$A431,"="&amp;$A3,Concentrado!$B$2:$B431, "=Zacatecas")</f>
        <v>999</v>
      </c>
      <c r="D3" s="11">
        <f>SUMIFS(Concentrado!E$2:E431,Concentrado!$A$2:$A431,"="&amp;$A3,Concentrado!$B$2:$B431, "=Zacatecas")</f>
        <v>1057</v>
      </c>
      <c r="E3" s="11">
        <f>SUMIFS(Concentrado!F$2:F431,Concentrado!$A$2:$A431,"="&amp;$A3,Concentrado!$B$2:$B431, "=Zacatecas")</f>
        <v>54</v>
      </c>
      <c r="F3" s="11">
        <f>SUMIFS(Concentrado!G$2:G431,Concentrado!$A$2:$A431,"="&amp;$A3,Concentrado!$B$2:$B431, "=Zacatecas")</f>
        <v>85</v>
      </c>
    </row>
    <row r="4" spans="1:6" x14ac:dyDescent="0.25">
      <c r="A4" s="8">
        <v>2014</v>
      </c>
      <c r="B4" s="11">
        <f>SUMIFS(Concentrado!C$2:C432,Concentrado!$A$2:$A432,"="&amp;$A4,Concentrado!$B$2:$B432, "=Zacatecas")</f>
        <v>1153</v>
      </c>
      <c r="C4" s="11">
        <f>SUMIFS(Concentrado!D$2:D432,Concentrado!$A$2:$A432,"="&amp;$A4,Concentrado!$B$2:$B432, "=Zacatecas")</f>
        <v>999</v>
      </c>
      <c r="D4" s="11">
        <f>SUMIFS(Concentrado!E$2:E432,Concentrado!$A$2:$A432,"="&amp;$A4,Concentrado!$B$2:$B432, "=Zacatecas")</f>
        <v>1053</v>
      </c>
      <c r="E4" s="11">
        <f>SUMIFS(Concentrado!F$2:F432,Concentrado!$A$2:$A432,"="&amp;$A4,Concentrado!$B$2:$B432, "=Zacatecas")</f>
        <v>55</v>
      </c>
      <c r="F4" s="11">
        <f>SUMIFS(Concentrado!G$2:G432,Concentrado!$A$2:$A432,"="&amp;$A4,Concentrado!$B$2:$B432, "=Zacatecas")</f>
        <v>91</v>
      </c>
    </row>
    <row r="5" spans="1:6" x14ac:dyDescent="0.25">
      <c r="A5" s="8">
        <v>2015</v>
      </c>
      <c r="B5" s="11">
        <f>SUMIFS(Concentrado!C$2:C433,Concentrado!$A$2:$A433,"="&amp;$A5,Concentrado!$B$2:$B433, "=Zacatecas")</f>
        <v>1163</v>
      </c>
      <c r="C5" s="11">
        <f>SUMIFS(Concentrado!D$2:D433,Concentrado!$A$2:$A433,"="&amp;$A5,Concentrado!$B$2:$B433, "=Zacatecas")</f>
        <v>999</v>
      </c>
      <c r="D5" s="11">
        <f>SUMIFS(Concentrado!E$2:E433,Concentrado!$A$2:$A433,"="&amp;$A5,Concentrado!$B$2:$B433, "=Zacatecas")</f>
        <v>814</v>
      </c>
      <c r="E5" s="11">
        <f>SUMIFS(Concentrado!F$2:F433,Concentrado!$A$2:$A433,"="&amp;$A5,Concentrado!$B$2:$B433, "=Zacatecas")</f>
        <v>53</v>
      </c>
      <c r="F5" s="11">
        <f>SUMIFS(Concentrado!G$2:G433,Concentrado!$A$2:$A433,"="&amp;$A5,Concentrado!$B$2:$B433, "=Zacatecas")</f>
        <v>89</v>
      </c>
    </row>
    <row r="6" spans="1:6" x14ac:dyDescent="0.25">
      <c r="A6" s="8">
        <v>2016</v>
      </c>
      <c r="B6" s="11">
        <f>SUMIFS(Concentrado!C$2:C434,Concentrado!$A$2:$A434,"="&amp;$A6,Concentrado!$B$2:$B434, "=Zacatecas")</f>
        <v>1158</v>
      </c>
      <c r="C6" s="11">
        <f>SUMIFS(Concentrado!D$2:D434,Concentrado!$A$2:$A434,"="&amp;$A6,Concentrado!$B$2:$B434, "=Zacatecas")</f>
        <v>1006</v>
      </c>
      <c r="D6" s="11">
        <f>SUMIFS(Concentrado!E$2:E434,Concentrado!$A$2:$A434,"="&amp;$A6,Concentrado!$B$2:$B434, "=Zacatecas")</f>
        <v>809</v>
      </c>
      <c r="E6" s="11">
        <f>SUMIFS(Concentrado!F$2:F434,Concentrado!$A$2:$A434,"="&amp;$A6,Concentrado!$B$2:$B434, "=Zacatecas")</f>
        <v>55</v>
      </c>
      <c r="F6" s="11">
        <f>SUMIFS(Concentrado!G$2:G434,Concentrado!$A$2:$A434,"="&amp;$A6,Concentrado!$B$2:$B434, "=Zacatecas")</f>
        <v>89</v>
      </c>
    </row>
    <row r="7" spans="1:6" x14ac:dyDescent="0.25">
      <c r="A7" s="8">
        <v>2017</v>
      </c>
      <c r="B7" s="11">
        <f>SUMIFS(Concentrado!C$2:C435,Concentrado!$A$2:$A435,"="&amp;$A7,Concentrado!$B$2:$B435, "=Zacatecas")</f>
        <v>1208</v>
      </c>
      <c r="C7" s="11">
        <f>SUMIFS(Concentrado!D$2:D435,Concentrado!$A$2:$A435,"="&amp;$A7,Concentrado!$B$2:$B435, "=Zacatecas")</f>
        <v>1000</v>
      </c>
      <c r="D7" s="11">
        <f>SUMIFS(Concentrado!E$2:E435,Concentrado!$A$2:$A435,"="&amp;$A7,Concentrado!$B$2:$B435, "=Zacatecas")</f>
        <v>819</v>
      </c>
      <c r="E7" s="11">
        <f>SUMIFS(Concentrado!F$2:F435,Concentrado!$A$2:$A435,"="&amp;$A7,Concentrado!$B$2:$B435, "=Zacatecas")</f>
        <v>50</v>
      </c>
      <c r="F7" s="11">
        <f>SUMIFS(Concentrado!G$2:G435,Concentrado!$A$2:$A435,"="&amp;$A7,Concentrado!$B$2:$B435, "=Zacatecas")</f>
        <v>84</v>
      </c>
    </row>
    <row r="8" spans="1:6" x14ac:dyDescent="0.25">
      <c r="A8" s="8">
        <v>2018</v>
      </c>
      <c r="B8" s="11">
        <f>SUMIFS(Concentrado!C$2:C436,Concentrado!$A$2:$A436,"="&amp;$A8,Concentrado!$B$2:$B436, "=Zacatecas")</f>
        <v>1187</v>
      </c>
      <c r="C8" s="11">
        <f>SUMIFS(Concentrado!D$2:D436,Concentrado!$A$2:$A436,"="&amp;$A8,Concentrado!$B$2:$B436, "=Zacatecas")</f>
        <v>999</v>
      </c>
      <c r="D8" s="11">
        <f>SUMIFS(Concentrado!E$2:E436,Concentrado!$A$2:$A436,"="&amp;$A8,Concentrado!$B$2:$B436, "=Zacatecas")</f>
        <v>725</v>
      </c>
      <c r="E8" s="11">
        <f>SUMIFS(Concentrado!F$2:F436,Concentrado!$A$2:$A436,"="&amp;$A8,Concentrado!$B$2:$B436, "=Zacatecas")</f>
        <v>48</v>
      </c>
      <c r="F8" s="11">
        <f>SUMIFS(Concentrado!G$2:G436,Concentrado!$A$2:$A436,"="&amp;$A8,Concentrado!$B$2:$B436, "=Zacatecas")</f>
        <v>30</v>
      </c>
    </row>
    <row r="9" spans="1:6" x14ac:dyDescent="0.25">
      <c r="A9" s="8">
        <v>2019</v>
      </c>
      <c r="B9" s="11">
        <f>SUMIFS(Concentrado!C$2:C437,Concentrado!$A$2:$A437,"="&amp;$A9,Concentrado!$B$2:$B437, "=Zacatecas")</f>
        <v>1176</v>
      </c>
      <c r="C9" s="11">
        <f>SUMIFS(Concentrado!D$2:D437,Concentrado!$A$2:$A437,"="&amp;$A9,Concentrado!$B$2:$B437, "=Zacatecas")</f>
        <v>974</v>
      </c>
      <c r="D9" s="11">
        <f>SUMIFS(Concentrado!E$2:E437,Concentrado!$A$2:$A437,"="&amp;$A9,Concentrado!$B$2:$B437, "=Zacatecas")</f>
        <v>758</v>
      </c>
      <c r="E9" s="11">
        <f>SUMIFS(Concentrado!F$2:F437,Concentrado!$A$2:$A437,"="&amp;$A9,Concentrado!$B$2:$B437, "=Zacatecas")</f>
        <v>50</v>
      </c>
      <c r="F9" s="11">
        <f>SUMIFS(Concentrado!G$2:G437,Concentrado!$A$2:$A437,"="&amp;$A9,Concentrado!$B$2:$B437, "=Zacatecas")</f>
        <v>31</v>
      </c>
    </row>
    <row r="10" spans="1:6" x14ac:dyDescent="0.25">
      <c r="A10" s="8">
        <v>2020</v>
      </c>
      <c r="B10" s="11">
        <f>SUMIFS(Concentrado!C$2:C438,Concentrado!$A$2:$A438,"="&amp;$A10,Concentrado!$B$2:$B438, "=Zacatecas")</f>
        <v>1331</v>
      </c>
      <c r="C10" s="11">
        <f>SUMIFS(Concentrado!D$2:D438,Concentrado!$A$2:$A438,"="&amp;$A10,Concentrado!$B$2:$B438, "=Zacatecas")</f>
        <v>970</v>
      </c>
      <c r="D10" s="11">
        <f>SUMIFS(Concentrado!E$2:E438,Concentrado!$A$2:$A438,"="&amp;$A10,Concentrado!$B$2:$B438, "=Zacatecas")</f>
        <v>897</v>
      </c>
      <c r="E10" s="11">
        <f>SUMIFS(Concentrado!F$2:F438,Concentrado!$A$2:$A438,"="&amp;$A10,Concentrado!$B$2:$B438, "=Zacatecas")</f>
        <v>49</v>
      </c>
      <c r="F10" s="11">
        <f>SUMIFS(Concentrado!G$2:G438,Concentrado!$A$2:$A438,"="&amp;$A10,Concentrado!$B$2:$B438, "=Zacatecas")</f>
        <v>30</v>
      </c>
    </row>
    <row r="11" spans="1:6" x14ac:dyDescent="0.25">
      <c r="A11" s="8">
        <v>2021</v>
      </c>
      <c r="B11" s="11">
        <f>SUMIFS(Concentrado!C$2:C439,Concentrado!$A$2:$A439,"="&amp;$A11,Concentrado!$B$2:$B439, "=Zacatecas")</f>
        <v>1170</v>
      </c>
      <c r="C11" s="11">
        <f>SUMIFS(Concentrado!D$2:D439,Concentrado!$A$2:$A439,"="&amp;$A11,Concentrado!$B$2:$B439, "=Zacatecas")</f>
        <v>1078</v>
      </c>
      <c r="D11" s="11">
        <f>SUMIFS(Concentrado!E$2:E439,Concentrado!$A$2:$A439,"="&amp;$A11,Concentrado!$B$2:$B439, "=Zacatecas")</f>
        <v>865</v>
      </c>
      <c r="E11" s="11">
        <f>SUMIFS(Concentrado!F$2:F439,Concentrado!$A$2:$A439,"="&amp;$A11,Concentrado!$B$2:$B439, "=Zacatecas")</f>
        <v>52</v>
      </c>
      <c r="F11" s="11">
        <f>SUMIFS(Concentrado!G$2:G439,Concentrado!$A$2:$A439,"="&amp;$A11,Concentrado!$B$2:$B439, "=Zacatecas")</f>
        <v>32</v>
      </c>
    </row>
    <row r="12" spans="1:6" x14ac:dyDescent="0.25">
      <c r="A12" s="8">
        <v>2022</v>
      </c>
      <c r="B12" s="11">
        <f>SUMIFS(Concentrado!C$2:C440,Concentrado!$A$2:$A440,"="&amp;$A12,Concentrado!$B$2:$B440, "=Zacatecas")</f>
        <v>1391</v>
      </c>
      <c r="C12" s="11">
        <f>SUMIFS(Concentrado!D$2:D440,Concentrado!$A$2:$A440,"="&amp;$A12,Concentrado!$B$2:$B440, "=Zacatecas")</f>
        <v>1099</v>
      </c>
      <c r="D12" s="11">
        <f>SUMIFS(Concentrado!E$2:E440,Concentrado!$A$2:$A440,"="&amp;$A12,Concentrado!$B$2:$B440, "=Zacatecas")</f>
        <v>839</v>
      </c>
      <c r="E12" s="11">
        <f>SUMIFS(Concentrado!F$2:F440,Concentrado!$A$2:$A440,"="&amp;$A12,Concentrado!$B$2:$B440, "=Zacatecas")</f>
        <v>54</v>
      </c>
      <c r="F12" s="11">
        <f>SUMIFS(Concentrado!G$2:G440,Concentrado!$A$2:$A440,"="&amp;$A12,Concentrado!$B$2:$B440, "=Zacatecas")</f>
        <v>31</v>
      </c>
    </row>
    <row r="13" spans="1:6" x14ac:dyDescent="0.25">
      <c r="A13" s="8">
        <v>2023</v>
      </c>
      <c r="B13" s="11">
        <f>SUMIFS(Concentrado!C$2:C441,Concentrado!$A$2:$A441,"="&amp;$A13,Concentrado!$B$2:$B441, "=Zacatecas")</f>
        <v>1436</v>
      </c>
      <c r="C13" s="11">
        <f>SUMIFS(Concentrado!D$2:D441,Concentrado!$A$2:$A441,"="&amp;$A13,Concentrado!$B$2:$B441, "=Zacatecas")</f>
        <v>1113</v>
      </c>
      <c r="D13" s="11">
        <f>SUMIFS(Concentrado!E$2:E441,Concentrado!$A$2:$A441,"="&amp;$A13,Concentrado!$B$2:$B441, "=Zacatecas")</f>
        <v>769</v>
      </c>
      <c r="E13" s="11">
        <f>SUMIFS(Concentrado!F$2:F441,Concentrado!$A$2:$A441,"="&amp;$A13,Concentrado!$B$2:$B441, "=Zacatecas")</f>
        <v>55</v>
      </c>
      <c r="F13" s="11">
        <f>SUMIFS(Concentrado!G$2:G441,Concentrado!$A$2:$A441,"="&amp;$A13,Concentrado!$B$2:$B441, "=Zacatecas")</f>
        <v>31</v>
      </c>
    </row>
    <row r="14" spans="1:6" x14ac:dyDescent="0.25">
      <c r="A14" s="8">
        <v>2024</v>
      </c>
      <c r="B14" s="11">
        <f>SUMIFS(Concentrado!C$2:C442,Concentrado!$A$2:$A442,"="&amp;$A14,Concentrado!$B$2:$B442, "=Zacatecas")</f>
        <v>1422</v>
      </c>
      <c r="C14" s="11">
        <f>SUMIFS(Concentrado!D$2:D442,Concentrado!$A$2:$A442,"="&amp;$A14,Concentrado!$B$2:$B442, "=Zacatecas")</f>
        <v>1070</v>
      </c>
      <c r="D14" s="11">
        <f>SUMIFS(Concentrado!E$2:E442,Concentrado!$A$2:$A442,"="&amp;$A14,Concentrado!$B$2:$B442, "=Zacatecas")</f>
        <v>785</v>
      </c>
      <c r="E14" s="11">
        <f>SUMIFS(Concentrado!F$2:F442,Concentrado!$A$2:$A442,"="&amp;$A14,Concentrado!$B$2:$B442, "=Zacatecas")</f>
        <v>53</v>
      </c>
      <c r="F14" s="11">
        <f>SUMIFS(Concentrado!G$2:G442,Concentrado!$A$2:$A442,"="&amp;$A14,Concentrado!$B$2:$B442, "=Zacatecas")</f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34</vt:i4>
      </vt:variant>
    </vt:vector>
  </HeadingPairs>
  <TitlesOfParts>
    <vt:vector size="34" baseType="lpstr">
      <vt:lpstr>Concentrado</vt:lpstr>
      <vt:lpstr>NACIONAL</vt:lpstr>
      <vt:lpstr>AGS</vt:lpstr>
      <vt:lpstr>BC</vt:lpstr>
      <vt:lpstr>BCS</vt:lpstr>
      <vt:lpstr>CAMP</vt:lpstr>
      <vt:lpstr>CHIS</vt:lpstr>
      <vt:lpstr>CHI</vt:lpstr>
      <vt:lpstr>CDMX</vt:lpstr>
      <vt:lpstr>COAH</vt:lpstr>
      <vt:lpstr>COL</vt:lpstr>
      <vt:lpstr>DGO</vt:lpstr>
      <vt:lpstr>GTO</vt:lpstr>
      <vt:lpstr>GRO</vt:lpstr>
      <vt:lpstr>HGO</vt:lpstr>
      <vt:lpstr>JAL</vt:lpstr>
      <vt:lpstr>MEX</vt:lpstr>
      <vt:lpstr>MICH</vt:lpstr>
      <vt:lpstr>MOR</vt:lpstr>
      <vt:lpstr>NAY</vt:lpstr>
      <vt:lpstr>NL</vt:lpstr>
      <vt:lpstr>OAX</vt:lpstr>
      <vt:lpstr>PUE</vt:lpstr>
      <vt:lpstr>QRO</vt:lpstr>
      <vt:lpstr>QROO</vt:lpstr>
      <vt:lpstr>SLP</vt:lpstr>
      <vt:lpstr>SIN</vt:lpstr>
      <vt:lpstr>SON</vt:lpstr>
      <vt:lpstr>TAB</vt:lpstr>
      <vt:lpstr>TAMPS</vt:lpstr>
      <vt:lpstr>TLAX</vt:lpstr>
      <vt:lpstr>VER</vt:lpstr>
      <vt:lpstr>YUC</vt:lpstr>
      <vt:lpstr>ZAC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</dc:creator>
  <cp:lastModifiedBy>AdminSALUD</cp:lastModifiedBy>
  <dcterms:created xsi:type="dcterms:W3CDTF">2019-03-12T16:50:24Z</dcterms:created>
  <dcterms:modified xsi:type="dcterms:W3CDTF">2026-03-23T19:56:11Z</dcterms:modified>
</cp:coreProperties>
</file>